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ver_Protocol" sheetId="1" state="visible" r:id="rId1"/>
    <sheet name="Workflow_Primer" sheetId="2" state="visible" r:id="rId2"/>
    <sheet name="Dashboard" sheetId="3" state="visible" r:id="rId3"/>
    <sheet name="Execution_Plan" sheetId="4" state="visible" r:id="rId4"/>
    <sheet name="01_AUTH" sheetId="5" state="visible" r:id="rId5"/>
    <sheet name="02_QUIZ" sheetId="6" state="visible" r:id="rId6"/>
    <sheet name="03_FOXY" sheetId="7" state="visible" r:id="rId7"/>
    <sheet name="04_RAG" sheetId="8" state="visible" r:id="rId8"/>
    <sheet name="05_PAR" sheetId="9" state="visible" r:id="rId9"/>
    <sheet name="06_DPDP" sheetId="10" state="visible" r:id="rId10"/>
    <sheet name="07_TEA" sheetId="11" state="visible" r:id="rId11"/>
    <sheet name="08_SCH" sheetId="12" state="visible" r:id="rId12"/>
    <sheet name="09_SUP" sheetId="13" state="visible" r:id="rId13"/>
    <sheet name="10_PAY" sheetId="14" state="visible" r:id="rId14"/>
    <sheet name="11_QUO" sheetId="15" state="visible" r:id="rId15"/>
    <sheet name="12_GAM" sheetId="16" state="visible" r:id="rId16"/>
    <sheet name="13_OPS" sheetId="17" state="visible" r:id="rId17"/>
    <sheet name="14_HOST" sheetId="18" state="visible" r:id="rId18"/>
    <sheet name="15_FE" sheetId="19" state="visible" r:id="rId19"/>
    <sheet name="16_SEC" sheetId="20" state="visible" r:id="rId20"/>
    <sheet name="17_I18N" sheetId="21" state="visible" r:id="rId21"/>
    <sheet name="18_PERF" sheetId="22" state="visible" r:id="rId22"/>
    <sheet name="19_SEAM" sheetId="23" state="visible" r:id="rId23"/>
    <sheet name="20_REG" sheetId="24" state="visible" r:id="rId24"/>
    <sheet name="21_MX_RBAC" sheetId="25" state="visible" r:id="rId25"/>
    <sheet name="22_MX_RLS" sheetId="26" state="visible" r:id="rId26"/>
    <sheet name="23_MX_CONTENT" sheetId="27" state="visible" r:id="rId27"/>
    <sheet name="24_MX_INPUT" sheetId="28" state="visible" r:id="rId28"/>
    <sheet name="25_MX_DEVICE" sheetId="29" state="visible" r:id="rId29"/>
    <sheet name="26_MX_EDGE" sheetId="30" state="visible" r:id="rId30"/>
    <sheet name="27_MX_NAV" sheetId="31" state="visible" r:id="rId31"/>
  </sheets>
  <definedNames>
    <definedName name="_xlnm._FilterDatabase" localSheetId="4" hidden="1">'01_AUTH'!$A$2:$N$12</definedName>
    <definedName name="_xlnm._FilterDatabase" localSheetId="5" hidden="1">'02_QUIZ'!$A$2:$N$13</definedName>
    <definedName name="_xlnm._FilterDatabase" localSheetId="6" hidden="1">'03_FOXY'!$A$2:$N$11</definedName>
    <definedName name="_xlnm._FilterDatabase" localSheetId="7" hidden="1">'04_RAG'!$A$2:$N$10</definedName>
    <definedName name="_xlnm._FilterDatabase" localSheetId="8" hidden="1">'05_PAR'!$A$2:$N$8</definedName>
    <definedName name="_xlnm._FilterDatabase" localSheetId="9" hidden="1">'06_DPDP'!$A$2:$N$7</definedName>
    <definedName name="_xlnm._FilterDatabase" localSheetId="10" hidden="1">'07_TEA'!$A$2:$N$8</definedName>
    <definedName name="_xlnm._FilterDatabase" localSheetId="11" hidden="1">'08_SCH'!$A$2:$N$10</definedName>
    <definedName name="_xlnm._FilterDatabase" localSheetId="12" hidden="1">'09_SUP'!$A$2:$N$7</definedName>
    <definedName name="_xlnm._FilterDatabase" localSheetId="13" hidden="1">'10_PAY'!$A$2:$N$10</definedName>
    <definedName name="_xlnm._FilterDatabase" localSheetId="14" hidden="1">'11_QUO'!$A$2:$N$6</definedName>
    <definedName name="_xlnm._FilterDatabase" localSheetId="15" hidden="1">'12_GAM'!$A$2:$N$6</definedName>
    <definedName name="_xlnm._FilterDatabase" localSheetId="16" hidden="1">'13_OPS'!$A$2:$N$9</definedName>
    <definedName name="_xlnm._FilterDatabase" localSheetId="17" hidden="1">'14_HOST'!$A$2:$N$8</definedName>
    <definedName name="_xlnm._FilterDatabase" localSheetId="18" hidden="1">'15_FE'!$A$2:$N$9</definedName>
    <definedName name="_xlnm._FilterDatabase" localSheetId="19" hidden="1">'16_SEC'!$A$2:$N$10</definedName>
    <definedName name="_xlnm._FilterDatabase" localSheetId="20" hidden="1">'17_I18N'!$A$2:$N$6</definedName>
    <definedName name="_xlnm._FilterDatabase" localSheetId="21" hidden="1">'18_PERF'!$A$2:$N$6</definedName>
    <definedName name="_xlnm._FilterDatabase" localSheetId="22" hidden="1">'19_SEAM'!$A$2:$N$7</definedName>
    <definedName name="_xlnm._FilterDatabase" localSheetId="23" hidden="1">'20_REG'!$A$2:$N$8</definedName>
    <definedName name="_xlnm._FilterDatabase" localSheetId="24" hidden="1">'21_MX_RBAC'!$A$2:$N$98</definedName>
    <definedName name="_xlnm._FilterDatabase" localSheetId="25" hidden="1">'22_MX_RLS'!$A$2:$N$42</definedName>
    <definedName name="_xlnm._FilterDatabase" localSheetId="26" hidden="1">'23_MX_CONTENT'!$A$2:$N$212</definedName>
    <definedName name="_xlnm._FilterDatabase" localSheetId="27" hidden="1">'24_MX_INPUT'!$A$2:$N$170</definedName>
    <definedName name="_xlnm._FilterDatabase" localSheetId="28" hidden="1">'25_MX_DEVICE'!$A$2:$N$79</definedName>
    <definedName name="_xlnm._FilterDatabase" localSheetId="29" hidden="1">'26_MX_EDGE'!$A$2:$N$174</definedName>
    <definedName name="_xlnm._FilterDatabase" localSheetId="30" hidden="1">'27_MX_NAV'!$A$2:$N$58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A5A"/>
      <sz val="16"/>
    </font>
    <font>
      <name val="Arial"/>
      <charset val="1"/>
      <family val="0"/>
      <i val="1"/>
      <color rgb="FF5B6178"/>
      <sz val="10"/>
    </font>
    <font>
      <name val="Arial"/>
      <charset val="1"/>
      <family val="0"/>
      <b val="1"/>
      <color rgb="FF1F2A5A"/>
      <sz val="10"/>
    </font>
    <font>
      <name val="Arial"/>
      <charset val="1"/>
      <family val="0"/>
      <color rgb="FF222633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1F2A5A"/>
      <sz val="15"/>
    </font>
    <font>
      <name val="Arial"/>
      <charset val="1"/>
      <family val="0"/>
      <i val="1"/>
      <color rgb="FF5B6178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F2A5A"/>
      <sz val="12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rgb="FF1F2A5A"/>
        <bgColor rgb="FF222633"/>
      </patternFill>
    </fill>
    <fill>
      <patternFill patternType="solid">
        <fgColor rgb="FFF4F6FB"/>
        <bgColor rgb="FFFFFFFF"/>
      </patternFill>
    </fill>
    <fill>
      <patternFill patternType="solid">
        <fgColor rgb="FFE8762C"/>
        <bgColor rgb="FFFF8080"/>
      </patternFill>
    </fill>
    <fill>
      <patternFill patternType="solid">
        <fgColor rgb="FFFFC7CE"/>
        <bgColor rgb="FFC9CFDE"/>
      </patternFill>
    </fill>
    <fill>
      <patternFill patternType="solid">
        <fgColor rgb="FFFFEB9C"/>
        <bgColor rgb="FFFFC7CE"/>
      </patternFill>
    </fill>
    <fill>
      <patternFill patternType="solid">
        <fgColor rgb="FFBDD7EE"/>
        <bgColor rgb="FFC9CFDE"/>
      </patternFill>
    </fill>
  </fills>
  <borders count="2">
    <border>
      <left/>
      <right/>
      <top/>
      <bottom/>
      <diagonal/>
    </border>
    <border>
      <left style="thin">
        <color rgb="FFC9CFDE"/>
      </left>
      <right style="thin">
        <color rgb="FFC9CFDE"/>
      </right>
      <top style="thin">
        <color rgb="FFC9CFDE"/>
      </top>
      <bottom style="thin">
        <color rgb="FFC9CF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general" vertical="center"/>
    </xf>
    <xf numFmtId="0" fontId="8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top" wrapText="1"/>
    </xf>
    <xf numFmtId="0" fontId="16" fillId="4" borderId="0" applyAlignment="1" pivotButton="0" quotePrefix="0" xfId="0">
      <alignment horizontal="general" vertical="center" indent="1"/>
    </xf>
    <xf numFmtId="0" fontId="17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general" vertical="center"/>
    </xf>
    <xf numFmtId="0" fontId="8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top" wrapText="1"/>
    </xf>
    <xf numFmtId="0" fontId="18" fillId="0" borderId="0" pivotButton="0" quotePrefix="0" xfId="0"/>
    <xf numFmtId="0" fontId="16" fillId="4" borderId="0" applyAlignment="1" pivotButton="0" quotePrefix="0" xfId="0">
      <alignment horizontal="general" vertical="center" indent="1"/>
    </xf>
    <xf numFmtId="0" fontId="17" fillId="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2A5A"/>
          <bgColor rgb="FF000000"/>
        </patternFill>
      </fill>
    </dxf>
    <dxf>
      <fill>
        <patternFill patternType="solid">
          <fgColor rgb="FFF4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  <dxf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B"/>
      <rgbColor rgb="FFCCFFFF"/>
      <rgbColor rgb="FF660066"/>
      <rgbColor rgb="FFFF8080"/>
      <rgbColor rgb="FF0066CC"/>
      <rgbColor rgb="FFC9CF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BDD7EE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8762C"/>
      <rgbColor rgb="FF5B6178"/>
      <rgbColor rgb="FF969696"/>
      <rgbColor rgb="FF1F2A5A"/>
      <rgbColor rgb="FF339966"/>
      <rgbColor rgb="FF003300"/>
      <rgbColor rgb="FF333300"/>
      <rgbColor rgb="FF993300"/>
      <rgbColor rgb="FF993366"/>
      <rgbColor rgb="FF333399"/>
      <rgbColor rgb="FF2226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8" min="1" max="1"/>
    <col width="26" customWidth="1" style="28" min="2" max="2"/>
    <col width="110" customWidth="1" style="28" min="3" max="3"/>
  </cols>
  <sheetData>
    <row r="2" ht="19.7" customHeight="1" s="29">
      <c r="B2" s="30" t="inlineStr">
        <is>
          <t>ALFANUMRIK — MASTER QA TEST SUITE &amp; LAUNCH CERTIFICATION</t>
        </is>
      </c>
    </row>
    <row r="3" ht="15" customHeight="1" s="29">
      <c r="B3" s="31" t="inlineStr">
        <is>
          <t>Pre-launch verification of every workflow across frontend, backend, Edge Functions, database, and all five user roles.</t>
        </is>
      </c>
    </row>
    <row r="5" ht="46.25" customHeight="1" s="29">
      <c r="B5" s="32" t="inlineStr">
        <is>
          <t>Purpose</t>
        </is>
      </c>
      <c r="C5" s="33" t="inlineStr">
        <is>
          <t>This workbook is the single authoritative QA checklist for launch. Nothing ships until every P0 row is PASS with evidence, and every P1 row is PASS or has a written, CEO-accepted risk waiver. It doubles as system documentation: the 'Workflow_Primer' sheet explains how each part of the product works, and every test row explains WHAT it checks and WHY, so a tester who has never seen Alfanumrik can execute it.</t>
        </is>
      </c>
    </row>
    <row r="6" ht="57.45" customHeight="1" s="29">
      <c r="B6" s="32" t="inlineStr">
        <is>
          <t>How to execute</t>
        </is>
      </c>
      <c r="C6" s="33" t="inlineStr">
        <is>
          <t>1) Read the Workflow_Primer sheet fully before testing anything.  2) Work sheet by sheet; sheets are ordered by dependency (Auth first, Seams last).  3) For each row: satisfy Preconditions, perform Test Steps exactly, compare against Expected Result.  4) Set Status via the dropdown, fill Tester + Date.  5) Attach the named Evidence to the shared QA evidence folder using the TC ID as the filename prefix (e.g. PAY-0007_razorpay_dashboard.png).  6) On FAIL: file a defect, paste its ID in the Defect ID column, and keep the row FAIL until re-tested on a fixed build.</t>
        </is>
      </c>
    </row>
    <row r="7" ht="46.25" customHeight="1" s="29">
      <c r="B7" s="32" t="inlineStr">
        <is>
          <t>Status codes</t>
        </is>
      </c>
      <c r="C7" s="33" t="inlineStr">
        <is>
          <t>NOT RUN = not attempted yet.  PASS = expected result observed, evidence attached.  FAIL = expected result not observed (defect filed).  BLOCKED = cannot execute because a dependency/defect prevents it (name it in Notes).  FENCED = the feature is intentionally hidden behind an explicit 'coming soon' state for launch — verify the fence itself: no blank page, no dead nav.  N/A = not applicable to the launch configuration (justify in Notes).</t>
        </is>
      </c>
    </row>
    <row r="8" ht="35.05" customHeight="1" s="29">
      <c r="B8" s="32" t="inlineStr">
        <is>
          <t>Priorities</t>
        </is>
      </c>
      <c r="C8" s="33" t="inlineStr">
        <is>
          <t>P0 = launch blocker: revenue, legal/DPDP, security, data loss, or the core student loop. A single P0 FAIL is an automatic NO-GO.  P1 = major functional defect visible to users or schools; ship only with a written waiver.  P2 = important but not blocking; fix in the first post-launch sprint.  P3 = polish/cosmetic.</t>
        </is>
      </c>
    </row>
    <row r="9" ht="46.25" customHeight="1" s="29">
      <c r="B9" s="32" t="inlineStr">
        <is>
          <t>Test accounts</t>
        </is>
      </c>
      <c r="C9" s="33" t="inlineStr">
        <is>
          <t>Use BOTH kinds for every role: (a) the seeded demo accounts, and (b) one FRESH real signup created during this cycle. Fresh signups catch onboarding breaks that seeded accounts hide. Create: 2 students (one Grade 6-8, one Grade 9-12), 1 parent/guardian linked to a test student, 1 teacher with a class of ≥5 test students, 1 school admin of a test school with a small seat cap (e.g. 10), 1 super admin. Never test destructive flows (erasure, purge, refund) on a real user's account.</t>
        </is>
      </c>
    </row>
    <row r="10" ht="35.05" customHeight="1" s="29">
      <c r="B10" s="32" t="inlineStr">
        <is>
          <t>Environments</t>
        </is>
      </c>
      <c r="C10" s="33" t="inlineStr">
        <is>
          <t>Primary: production configuration (pinned frontend build + production Supabase) using test/throwaway accounts, because several past failures existed ONLY in prod config. Payments: Razorpay LIVE keys with one small real ₹ amount per motion (mandated) — everything else on test keys first. Load and destructive alert tests: staging/preview infra only.</t>
        </is>
      </c>
    </row>
    <row r="11" ht="35.05" customHeight="1" s="29">
      <c r="B11" s="32" t="inlineStr">
        <is>
          <t>Evidence rules</t>
        </is>
      </c>
      <c r="C11" s="33" t="inlineStr">
        <is>
          <t>Evidence means something a third party could audit: a screenshot with visible URL + timestamp, a SQL query and its result, an API request/response pair, or a dashboard export. 'It worked for me' is not evidence. For every ₹ test: screenshot the SAME amount in UI, database, and the Razorpay dashboard.</t>
        </is>
      </c>
    </row>
    <row r="12" ht="57.45" customHeight="1" s="29">
      <c r="B12" s="32" t="inlineStr">
        <is>
          <t>Golden rules under test</t>
        </is>
      </c>
      <c r="C12" s="33" t="inlineStr">
        <is>
          <t>1) Correctness is decided by the SERVER — anything a client can tamper with (answer correctness, role, price) must be re-derived server-side.  2) Grounding: AI never invents curriculum — no context means a structured CURRICULUM_GAP, not a fluent guess.  3) One canonical implementation per concern — two live versions of the same screen/route/table is itself a defect (this exact failure shipped before).  4) No blank pages — unbuilt features show an explicit 'coming soon'.  5) Idempotency — replaying any webhook or quiz submission must change nothing.  6) Quotas never reset on deploy.  7) Every removed route answers 410/redirect, never a silent 404.</t>
        </is>
      </c>
    </row>
    <row r="14" ht="35.05" customHeight="1" s="29">
      <c r="B14" s="32" t="inlineStr">
        <is>
          <t>Suite composition</t>
        </is>
      </c>
      <c r="C14" s="33" t="inlineStr">
        <is>
          <t>See the Dashboard sheet for live counts per module. Hand-authored scenario tests are combined with systematic matrices (role × route RBAC, table × RLS probes, grade × subject content coverage, endpoint × malformed-input, screen × device). Matrix rows are individually executable — each names its exact parameters.</t>
        </is>
      </c>
    </row>
    <row r="15" ht="35.05" customHeight="1" s="29">
      <c r="B15" s="32" t="inlineStr">
        <is>
          <t>Sign-off</t>
        </is>
      </c>
      <c r="C15" s="33" t="inlineStr">
        <is>
          <t>QA Lead signs the Dashboard sheet when: 100% of P0 = PASS, 100% of P1 = PASS or waived in writing, all four SEAM tests passed in a SINGLE rehearsal run, and the evidence folder is complete. The CEO countersigns any waiver line by line. This workbook (with statuses) is archived as the launch certification record.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28" min="1" max="1"/>
    <col width="22" customWidth="1" style="28" min="2" max="2"/>
    <col width="42" customWidth="1" style="28" min="3" max="3"/>
    <col width="56" customWidth="1" style="28" min="4" max="4"/>
    <col width="30" customWidth="1" style="28" min="5" max="6"/>
    <col width="36" customWidth="1" style="28" min="7" max="7"/>
  </cols>
  <sheetData>
    <row r="1" ht="15" customHeight="1" s="29">
      <c r="A1" s="34" t="inlineStr">
        <is>
          <t>#</t>
        </is>
      </c>
      <c r="B1" s="34" t="inlineStr">
        <is>
          <t>Workflow</t>
        </is>
      </c>
      <c r="C1" s="34" t="inlineStr">
        <is>
          <t>What it is (plain language)</t>
        </is>
      </c>
      <c r="D1" s="34" t="inlineStr">
        <is>
          <t>How it works — the production chain</t>
        </is>
      </c>
      <c r="E1" s="34" t="inlineStr">
        <is>
          <t>Key tables (database)</t>
        </is>
      </c>
      <c r="F1" s="34" t="inlineStr">
        <is>
          <t>Key functions / APIs</t>
        </is>
      </c>
      <c r="G1" s="34" t="inlineStr">
        <is>
          <t>What 'broken' looks like</t>
        </is>
      </c>
    </row>
    <row r="2" ht="43.25" customHeight="1" s="29">
      <c r="A2" s="35" t="n">
        <v>1</v>
      </c>
      <c r="B2" s="36" t="inlineStr">
        <is>
          <t>Signup &amp; Onboarding</t>
        </is>
      </c>
      <c r="C2" s="36" t="inlineStr">
        <is>
          <t>A new student creates an account and is walked through onboarding (grade, subjects, consent) before landing on the dashboard.</t>
        </is>
      </c>
      <c r="D2" s="36" t="inlineStr">
        <is>
          <t>Signup form → Supabase Auth creates the auth user → identity Edge Function provisions the profile → a row appears in `students` → onboarding wizard writes `onboarding_state` step by step → the DPDP parental-consent step records consent → student lands on the dashboard.</t>
        </is>
      </c>
      <c r="E2" s="36" t="inlineStr">
        <is>
          <t>auth.users, students, onboarding_state, parental_consent</t>
        </is>
      </c>
      <c r="F2" s="36" t="inlineStr">
        <is>
          <t>identity (Edge Fn), Supabase Auth</t>
        </is>
      </c>
      <c r="G2" s="36" t="inlineStr">
        <is>
          <t>Signup succeeds but no `students` row (orphan auth user); onboarding can be skipped via URL; consent step missing so a minor is live without a consent record; dashboard loads blank.</t>
        </is>
      </c>
    </row>
    <row r="3" ht="43.25" customHeight="1" s="29">
      <c r="A3" s="35" t="n">
        <v>2</v>
      </c>
      <c r="B3" s="37" t="inlineStr">
        <is>
          <t>Login &amp; Session</t>
        </is>
      </c>
      <c r="C3" s="37" t="inlineStr">
        <is>
          <t>Existing users log in; the platform tracks active sessions and guards every authenticated route.</t>
        </is>
      </c>
      <c r="D3" s="37" t="inlineStr">
        <is>
          <t>Login → Supabase Auth issues a JWT → session-guard validates it on protected routes → `user_active_sessions` records the session. Role is read server-side from the profile, never from anything the browser sends.</t>
        </is>
      </c>
      <c r="E3" s="37" t="inlineStr">
        <is>
          <t>auth.users, user_active_sessions, user role tables</t>
        </is>
      </c>
      <c r="F3" s="37" t="inlineStr">
        <is>
          <t>session-guard (Edge Fn), Supabase Auth helpers</t>
        </is>
      </c>
      <c r="G3" s="37" t="inlineStr">
        <is>
          <t>Expired token still works; logout doesn't kill the session row; a user reaches another role's screens; role can be changed by editing a request.</t>
        </is>
      </c>
    </row>
    <row r="4" ht="116.4" customHeight="1" s="29">
      <c r="A4" s="35" t="n">
        <v>3</v>
      </c>
      <c r="B4" s="36" t="inlineStr">
        <is>
          <t>Adaptive Quiz Loop (the core product)</t>
        </is>
      </c>
      <c r="C4" s="36" t="inlineStr">
        <is>
          <t>A student takes a short quiz; the system grades it on the server, updates a per-concept mastery estimate (Bayesian Knowledge Tracing — BKT), and the dashboard reflects the new mastery. This loop IS the product.</t>
        </is>
      </c>
      <c r="D4" s="36" t="inlineStr">
        <is>
          <t>UI calls start_quiz_session() → the server stores the shuffled answer key in `quiz_session_shuffles` (the client never holds correctness) → student answers; only the chosen option index is sent up → submit_quiz_results_v2 re-derives right/wrong from the stored key → the tutor_commit_attempt RPC, in ONE transaction: validates the attempt_id (idempotency — a replay is a no-op), appends the attempt to `concept_attempts` with BOTH prior and posterior mastery persisted, and emits an event to `state_events` → asynchronous projectors (projector-runner, cron-driven) fold events into the read models `concept_mastery` (per concept) and `learner_mastery` (per chapter) → dashboards read the projections.</t>
        </is>
      </c>
      <c r="E4" s="36" t="inlineStr">
        <is>
          <t>quiz_sessions, quiz_session_shuffles, concept_attempts, state_events, subscriber_offsets, concept_mastery, learner_mastery, user_question_history</t>
        </is>
      </c>
      <c r="F4" s="36" t="inlineStr">
        <is>
          <t>start_quiz_session(), submit_quiz_results_v2, tutor_commit_attempt (RPC), projector-runner, projector-health-check</t>
        </is>
      </c>
      <c r="G4" s="36" t="inlineStr">
        <is>
          <t>Mastery on the dashboard doesn't move after quizzes (projector stalled); all students show ~identical mastery (the historical wrong-column BKT bug); a replayed submission double-counts; a student can mark themselves correct by tampering with the request.</t>
        </is>
      </c>
    </row>
    <row r="5" ht="105.95" customHeight="1" s="29">
      <c r="A5" s="35" t="n">
        <v>4</v>
      </c>
      <c r="B5" s="37" t="inlineStr">
        <is>
          <t>Foxy AI Tutor (grounded answers)</t>
        </is>
      </c>
      <c r="C5" s="37" t="inlineStr">
        <is>
          <t>Foxy is the AI tutor chat. Every answer must come from the current-edition NCERT textbook index — Foxy is forbidden from inventing curriculum content.</t>
        </is>
      </c>
      <c r="D5" s="37" t="inlineStr">
        <is>
          <t>Student asks → foxy-tutor / grounded-answer resolves the chapter against the canonical syllabus taxonomy (`cbse_syllabus`) → retrieves top-k NCERT chunks from pgvector filtered by board/grade/subject/chapter/language and is_active → sends context to the Anthropic model via the Model Orchestration Layer (MOL) with retry/backoff → streams the answer with citations → writes `foxy_chat_messages` plus a full trace (`grounded_ai_traces`, `retrieval_traces`). If retrieval finds nothing usable, the API returns a structured CURRICULUM_GAP error and logs `content_gaps` — the model is never asked to free-generate.</t>
        </is>
      </c>
      <c r="E5" s="37" t="inlineStr">
        <is>
          <t>cbse_syllabus, rag_content_chunks, foxy_chat_sessions, foxy_chat_messages, grounded_ai_traces, retrieval_traces, content_gaps, mol_request_logs</t>
        </is>
      </c>
      <c r="F5" s="37" t="inlineStr">
        <is>
          <t>foxy-tutor, grounded-answer (Edge Fns), MOL routing, utils/anthropic.ts retry helper</t>
        </is>
      </c>
      <c r="G5" s="37" t="inlineStr">
        <is>
          <t>Foxy answers an out-of-syllabus question fluently (hallucination — P0); Hindi silently answered in English; chapter list in Foxy differs from Quiz (two fetchers drifting — historical P0); no trace rows written.</t>
        </is>
      </c>
    </row>
    <row r="6" ht="43.25" customHeight="1" s="29">
      <c r="A6" s="35" t="n">
        <v>5</v>
      </c>
      <c r="B6" s="36" t="inlineStr">
        <is>
          <t>Foxy 'Quiz me' (in-chat practice)</t>
        </is>
      </c>
      <c r="C6" s="36" t="inlineStr">
        <is>
          <t>Inside the chat, Foxy can serve practice questions. These are graded server-side and feed the SAME mastery chain as regular quizzes — one BKT, not two.</t>
        </is>
      </c>
      <c r="D6" s="36" t="inlineStr">
        <is>
          <t>Foxy serves an item → the correct index is held server-side in `foxy_served_items` → student answers → grading server-side → tutor_commit_attempt RPC (same as the quiz loop) → same event → same projections.</t>
        </is>
      </c>
      <c r="E6" s="36" t="inlineStr">
        <is>
          <t>foxy_served_items, concept_attempts, state_events, concept_mastery</t>
        </is>
      </c>
      <c r="F6" s="36" t="inlineStr">
        <is>
          <t>foxy-tutor, tutor_commit_attempt (RPC)</t>
        </is>
      </c>
      <c r="G6" s="36" t="inlineStr">
        <is>
          <t>Chat practice doesn't move mastery, or moves a DIFFERENT mastery number than quizzes do (split-brain mastery).</t>
        </is>
      </c>
    </row>
    <row r="7" ht="43.25" customHeight="1" s="29">
      <c r="A7" s="35" t="n">
        <v>6</v>
      </c>
      <c r="B7" s="37" t="inlineStr">
        <is>
          <t>Today / Next-Action Resolver</t>
        </is>
      </c>
      <c r="C7" s="37" t="inlineStr">
        <is>
          <t>The dashboard hero tells the student the one best next thing to do (new concept, spaced review, or teacher-assigned remediation).</t>
        </is>
      </c>
      <c r="D7" s="37" t="inlineStr">
        <is>
          <t>/api/learner/next reads `scheduled_actions`, merging remediation injections (`adaptive_interventions`, `teacher_remediation_assignments`) with interleaving and spaced-review queues into ONE resolver — every surface shows the same 'next'.</t>
        </is>
      </c>
      <c r="E7" s="37" t="inlineStr">
        <is>
          <t>scheduled_actions, adaptive_interventions, teacher_remediation_assignments</t>
        </is>
      </c>
      <c r="F7" s="37" t="inlineStr">
        <is>
          <t>/api/learner/next</t>
        </is>
      </c>
      <c r="G7" s="37" t="inlineStr">
        <is>
          <t>Empty hero for an active student; teacher assignment never appears; two surfaces disagree on what's next.</t>
        </is>
      </c>
    </row>
    <row r="8" ht="53.7" customHeight="1" s="29">
      <c r="A8" s="35" t="n">
        <v>7</v>
      </c>
      <c r="B8" s="36" t="inlineStr">
        <is>
          <t>Diagnostic &amp; Mock Exams</t>
        </is>
      </c>
      <c r="C8" s="36" t="inlineStr">
        <is>
          <t>Diagnostics place a student at their ACTUAL level (which may be below their enrolled grade). Mock exams simulate board-style papers using only verified questions.</t>
        </is>
      </c>
      <c r="D8" s="36" t="inlineStr">
        <is>
          <t>Diagnostic assessment → ability estimate seeds the mastery profile. Mock exam composes verified items (2PL IRT difficulty where calibrated) → attempt recorded → score report. Board-score prediction reads accumulated mastery.</t>
        </is>
      </c>
      <c r="E8" s="36" t="inlineStr">
        <is>
          <t>diagnostic_assessments, mock_test_attempts, board_score_predictions, question_bank (verification_state, irt_a, irt_b)</t>
        </is>
      </c>
      <c r="F8" s="36" t="inlineStr">
        <is>
          <t>quiz-generator (canonical), mock-exam APIs</t>
        </is>
      </c>
      <c r="G8" s="36" t="inlineStr">
        <is>
          <t>A mock exam contains an UNVERIFIED question (content-poisoning guard breached); diagnostic writes nothing; these pages exist in nav but load blank (must be VERIFIED or FENCED).</t>
        </is>
      </c>
    </row>
    <row r="9" ht="116.4" customHeight="1" s="29">
      <c r="A9" s="35" t="n">
        <v>8</v>
      </c>
      <c r="B9" s="37" t="inlineStr">
        <is>
          <t>Content &amp; RAG Supply Chain</t>
        </is>
      </c>
      <c r="C9" s="37" t="inlineStr">
        <is>
          <t>How NCERT PDFs become the retrieval index and the question bank, and how the old syllabus is made impossible to resurface.</t>
        </is>
      </c>
      <c r="D9" s="37" t="inlineStr">
        <is>
          <t>ingest-orchestrator parses/chunks/tags PDFs (board, grade, subject, chapter, language) → Voyage embeddings (model pinned per pack) → `rag_content_chunks` rows carry pack_id/pack_version/is_active → a re-index inserts the ENTIRE new pack inactive, then ONE transaction flips is_active new↔old per chapter, then old rows are deleted (atomic pack swap) → `cbse_syllabus.chunk_count` and rag_status recompute → bulk-question-gen writes items UNVERIFIED → verify-question-bank workers claim items (claim + expiry prevents double-verification), check each against retrieved NCERT chunks, persist verifier_chunk_ids as provenance → only verification_state='verified' items are eligible for mastery-impacting flows.</t>
        </is>
      </c>
      <c r="E9" s="37" t="inlineStr">
        <is>
          <t>rag_content_chunks, cbse_syllabus, question_bank, content_gaps, chapter_asset_inventory, coverage_audit_snapshots</t>
        </is>
      </c>
      <c r="F9" s="37" t="inlineStr">
        <is>
          <t>ingest-orchestrator, bulk-question-gen, verify-question-bank, quiz-generator</t>
        </is>
      </c>
      <c r="G9" s="37" t="inlineStr">
        <is>
          <t>Old-syllabus text appears anywhere (partial purge — historical incident); chunk counts disagree with rag_status; unverified items reach a mock exam; two chapter taxonomies serve different surfaces.</t>
        </is>
      </c>
    </row>
    <row r="10" ht="53.7" customHeight="1" s="29">
      <c r="A10" s="35" t="n">
        <v>9</v>
      </c>
      <c r="B10" s="36" t="inlineStr">
        <is>
          <t>Parent Linking &amp; Consent (DPDP)</t>
        </is>
      </c>
      <c r="C10" s="36" t="inlineStr">
        <is>
          <t>A guardian links to their child via OTP and grants parental consent — a legal requirement (India DPDP Act 2023) for minors on the platform.</t>
        </is>
      </c>
      <c r="D10" s="36" t="inlineStr">
        <is>
          <t>Guardian signup → 'link child' issues an OTP challenge (`link_code_otp_challenges`) → correct OTP creates `guardian_student_links` → consent screen writes `parental_consent` → parent-portal dashboard unlocks for that child only (guardian-of check in RLS).</t>
        </is>
      </c>
      <c r="E10" s="36" t="inlineStr">
        <is>
          <t>guardians, link_code_otp_challenges, guardian_student_links, parental_consent</t>
        </is>
      </c>
      <c r="F10" s="36" t="inlineStr">
        <is>
          <t>parent-portal (Edge Fn), is_guardian_of (RLS helper)</t>
        </is>
      </c>
      <c r="G10" s="36" t="inlineStr">
        <is>
          <t>A guardian sees an unlinked child's data (RLS breach — P0); consent step skippable; OTP reusable or brute-forceable.</t>
        </is>
      </c>
    </row>
    <row r="11" ht="43.25" customHeight="1" s="29">
      <c r="A11" s="35" t="n">
        <v>10</v>
      </c>
      <c r="B11" s="37" t="inlineStr">
        <is>
          <t>Parent Weekly Report &amp; WhatsApp</t>
        </is>
      </c>
      <c r="C11" s="37" t="inlineStr">
        <is>
          <t>Parents get a weekly digest of their child's real activity, deliverable to WhatsApp.</t>
        </is>
      </c>
      <c r="D11" s="37" t="inlineStr">
        <is>
          <t>Scheduled job composes `parent_weekly_reports` from the same mastery projections the student sees → rendered in the portal → whatsapp-notify delivers.</t>
        </is>
      </c>
      <c r="E11" s="37" t="inlineStr">
        <is>
          <t>parent_weekly_reports, notification tables</t>
        </is>
      </c>
      <c r="F11" s="37" t="inlineStr">
        <is>
          <t>whatsapp-notify (Edge Fn), report cron</t>
        </is>
      </c>
      <c r="G11" s="37" t="inlineStr">
        <is>
          <t>Report numbers disagree with the student dashboard for the same period (seam breach); report renders with empty/placeholder data; WhatsApp silently never sends.</t>
        </is>
      </c>
    </row>
    <row r="12" ht="43.25" customHeight="1" s="29">
      <c r="A12" s="35" t="n">
        <v>11</v>
      </c>
      <c r="B12" s="36" t="inlineStr">
        <is>
          <t>Data Erasure &amp; Export (DPDP rights)</t>
        </is>
      </c>
      <c r="C12" s="36" t="inlineStr">
        <is>
          <t>A guardian/user can demand deletion or export of the child's data. Deletion is two-stage with a 7-day grace period, then a hard purge.</t>
        </is>
      </c>
      <c r="D12" s="36" t="inlineStr">
        <is>
          <t>Erasure request → `data_erasure_requests` (stage 1) → 7-day grace (cancellable) → account-purge Edge Function hard-deletes → export endpoint returns the student's data on request.</t>
        </is>
      </c>
      <c r="E12" s="36" t="inlineStr">
        <is>
          <t>data_erasure_requests</t>
        </is>
      </c>
      <c r="F12" s="36" t="inlineStr">
        <is>
          <t>account-purge (Edge Fn), export API</t>
        </is>
      </c>
      <c r="G12" s="36" t="inlineStr">
        <is>
          <t>Purge leaves orphan rows (mastery, chat, payments) behind; grace period not honored; export empty or includes ANOTHER user's data.</t>
        </is>
      </c>
    </row>
    <row r="13" ht="53.7" customHeight="1" s="29">
      <c r="A13" s="35" t="n">
        <v>12</v>
      </c>
      <c r="B13" s="37" t="inlineStr">
        <is>
          <t>Teacher: Roster, Heatmap, Remediation</t>
        </is>
      </c>
      <c r="C13" s="37" t="inlineStr">
        <is>
          <t>Teachers see their classes, a mastery heatmap, an at-risk list, and can assign remediation that lands in the student's Today plan.</t>
        </is>
      </c>
      <c r="D13" s="37" t="inlineStr">
        <is>
          <t>Roster from `classes` + `class_enrollments` → heatmap reads the SAME `concept_mastery`/`learner_mastery` projections students see → teacher creates `teacher_remediation_assignments` → the student's next-action resolver picks it up within one cycle → teacher↔parent messaging via `teacher_parent_messages`.</t>
        </is>
      </c>
      <c r="E13" s="37" t="inlineStr">
        <is>
          <t>classes, class_enrollments, concept_mastery, learner_mastery, teacher_remediation_assignments, teacher_parent_messages</t>
        </is>
      </c>
      <c r="F13" s="37" t="inlineStr">
        <is>
          <t>teacher dashboard APIs, /api/learner/next</t>
        </is>
      </c>
      <c r="G13" s="37" t="inlineStr">
        <is>
          <t>Heatmap shows numbers the student dashboard contradicts; remediation vanishes; teacher sees classes that aren't theirs.</t>
        </is>
      </c>
    </row>
    <row r="14" ht="74.59999999999999" customHeight="1" s="29">
      <c r="A14" s="35" t="n">
        <v>13</v>
      </c>
      <c r="B14" s="36" t="inlineStr">
        <is>
          <t>School Admin: Onboarding, Seats, Billing</t>
        </is>
      </c>
      <c r="C14" s="36" t="inlineStr">
        <is>
          <t>A school claims its account with a token, invites staff/students, manages a seat pool with a hard capacity, and pays either online (GST invoice) or offline (PO/bank/cheque queue with two-admin approval).</t>
        </is>
      </c>
      <c r="D14" s="36" t="inlineStr">
        <is>
          <t>Claim token (`school_admin_claim_tokens`) → school profile → invites → each enrollment passes assert_seat_capacity at the join edge (over-capacity is REJECTED) → `school_seat_usage` tracks → billing: seats × price → GST invoice (supplier_gstins, school_gst_details, sequenced invoice_number_sequences, tax_config) OR the offline `payment_reconciliation_queue` needing TWO admin approvals → seat activation → every student under the school gets entitled content.</t>
        </is>
      </c>
      <c r="E14" s="36" t="inlineStr">
        <is>
          <t>school_admin_claim_tokens, schools, school_seat_usage, school_subscriptions, supplier_gstins, school_gst_details, invoice_number_sequences, tax_config, payment_reconciliation_queue</t>
        </is>
      </c>
      <c r="F14" s="36" t="inlineStr">
        <is>
          <t>assert_seat_capacity(), invoicing APIs</t>
        </is>
      </c>
      <c r="G14" s="36" t="inlineStr">
        <is>
          <t>The 11th student joins a 10-seat school; one admin approves an offline payment alone; GST invoice fields blank/invented; students of a lapsed school keep paid content.</t>
        </is>
      </c>
    </row>
    <row r="15" ht="43.25" customHeight="1" s="29">
      <c r="A15" s="35" t="n">
        <v>14</v>
      </c>
      <c r="B15" s="37" t="inlineStr">
        <is>
          <t>Super Admin Console</t>
        </is>
      </c>
      <c r="C15" s="37" t="inlineStr">
        <is>
          <t>Internal operations console: observability, impersonation (view-as), AI cost dashboard, payment ops, grounding health, RBAC administration.</t>
        </is>
      </c>
      <c r="D15" s="37" t="inlineStr">
        <is>
          <t>Reads `ops_events` and `system_metrics` → impersonation issues a scoped view-as session and writes an audit log entry for EVERY use → MOL cost dashboard aggregates `mol_request_logs` × `model_pricing` → brute-force lockout counts `admin_login_attempts`.</t>
        </is>
      </c>
      <c r="E15" s="37" t="inlineStr">
        <is>
          <t>ops_events, system_metrics, audit_logs, mol_request_logs, model_pricing, admin_login_attempts</t>
        </is>
      </c>
      <c r="F15" s="37" t="inlineStr">
        <is>
          <t>super-admin routes, impersonation API</t>
        </is>
      </c>
      <c r="G15" s="37" t="inlineStr">
        <is>
          <t>Impersonation without an audit row (P0); a non-super-admin reaches any of it; cost dashboard disagrees with raw request logs.</t>
        </is>
      </c>
    </row>
    <row r="16" ht="74.59999999999999" customHeight="1" s="29">
      <c r="A16" s="35" t="n">
        <v>15</v>
      </c>
      <c r="B16" s="36" t="inlineStr">
        <is>
          <t>Payments D2C (Razorpay)</t>
        </is>
      </c>
      <c r="C16" s="36" t="inlineStr">
        <is>
          <t>A student/parent buys a subscription. Money correctness is absolute: identical ₹ everywhere, exactly-once processing, instant entitlement.</t>
        </is>
      </c>
      <c r="D16" s="36" t="inlineStr">
        <is>
          <t>Pricing UI → create order (amount stored as INTEGER paise) → Razorpay checkout → Razorpay calls OUR ONE registered webhook URL → handler verifies the signature FIRST → inserts `payment_webhook_events` under a UNIQUE (account_id, event_id) key — a replayed delivery hits the unique key and no-ops → `payment_history` → `student_subscriptions` → plan entitlements (`plan_subject_access`) and quota grants → the student sees paid content immediately.</t>
        </is>
      </c>
      <c r="E16" s="36" t="inlineStr">
        <is>
          <t>payment_webhook_events, payment_history, student_subscriptions, plan_subject_access, subscription_events</t>
        </is>
      </c>
      <c r="F16" s="36" t="inlineStr">
        <is>
          <t>order API, Razorpay webhook handler, send-pre-debit-notice, send-renewal-reminder</t>
        </is>
      </c>
      <c r="G16" s="36" t="inlineStr">
        <is>
          <t>Amounts differ between UI/DB/Razorpay; a replayed webhook double-grants; an unsigned webhook is accepted (P0 fraud); payment succeeds but entitlement doesn't appear.</t>
        </is>
      </c>
    </row>
    <row r="17" ht="43.25" customHeight="1" s="29">
      <c r="A17" s="35" t="n">
        <v>16</v>
      </c>
      <c r="B17" s="37" t="inlineStr">
        <is>
          <t>Quotas &amp; Entitlements</t>
        </is>
      </c>
      <c r="C17" s="37" t="inlineStr">
        <is>
          <t>Free and paid plans cap AI/quiz usage. Caps are enforced atomically and NEVER reset by a deploy (a historical bug class).</t>
        </is>
      </c>
      <c r="D17" s="37" t="inlineStr">
        <is>
          <t>Every metered call passes check_and_record_usage — a single-statement atomic UPDATE ... WHERE used &lt; limit → at cap, a structured limit error (not a crash) → counters live in `security_request_usage_daily` under `security_quota_profiles`; resets happen only on period rollover.</t>
        </is>
      </c>
      <c r="E17" s="37" t="inlineStr">
        <is>
          <t>security_quota_profiles, security_request_usage_daily, security_route_policies, security_tenant_ai_budgets</t>
        </is>
      </c>
      <c r="F17" s="37" t="inlineStr">
        <is>
          <t>check_and_record_usage()</t>
        </is>
      </c>
      <c r="G17" s="37" t="inlineStr">
        <is>
          <t>Cap+1 request succeeds; deploy resets 'used' to zero; limit error is a blank page; one tenant's spend drains another's budget.</t>
        </is>
      </c>
    </row>
    <row r="18" ht="32.8" customHeight="1" s="29">
      <c r="A18" s="35" t="n">
        <v>17</v>
      </c>
      <c r="B18" s="36" t="inlineStr">
        <is>
          <t>Gamification</t>
        </is>
      </c>
      <c r="C18" s="36" t="inlineStr">
        <is>
          <t>XP, coins, daily streaks, challenges, and class/school leaderboards reward consistent practice.</t>
        </is>
      </c>
      <c r="D18" s="36" t="inlineStr">
        <is>
          <t>Quiz completion writes `xp_transactions` → streak logic updates daily → `daily_challenges` track progress → `leaderboard_snapshots` computed periodically (read from snapshots, not live folds).</t>
        </is>
      </c>
      <c r="E18" s="36" t="inlineStr">
        <is>
          <t>xp_transactions, leaderboard_snapshots, daily_challenges, streak tables</t>
        </is>
      </c>
      <c r="F18" s="36" t="inlineStr">
        <is>
          <t>gamification hooks in quiz submit path</t>
        </is>
      </c>
      <c r="G18" s="36" t="inlineStr">
        <is>
          <t>XP double-credits on a replayed submission; leaderboard shows students from another school/class; streak breaks despite activity.</t>
        </is>
      </c>
    </row>
    <row r="19" ht="32.8" customHeight="1" s="29">
      <c r="A19" s="35" t="n">
        <v>18</v>
      </c>
      <c r="B19" s="37" t="inlineStr">
        <is>
          <t>Notifications &amp; Comms</t>
        </is>
      </c>
      <c r="C19" s="37" t="inlineStr">
        <is>
          <t>Transactional email (Mailgun), WhatsApp messages, and in-app notifications for reports, payments, and reminders.</t>
        </is>
      </c>
      <c r="D19" s="37" t="inlineStr">
        <is>
          <t>Event → notification channel dispatch → provider webhook confirms delivery. Exactly ONE registered callback URL per provider (dual-host rule).</t>
        </is>
      </c>
      <c r="E19" s="37" t="inlineStr">
        <is>
          <t>notification_channels, alert_dispatches, related logs</t>
        </is>
      </c>
      <c r="F19" s="37" t="inlineStr">
        <is>
          <t>whatsapp-notify, Mailgun integration, send-renewal-reminder, send-pre-debit-notice</t>
        </is>
      </c>
      <c r="G19" s="37" t="inlineStr">
        <is>
          <t>Duplicate sends (double-registered webhook); reminder crons silently never fire; unsubscribe/preferences ignored.</t>
        </is>
      </c>
    </row>
    <row r="20" ht="74.59999999999999" customHeight="1" s="29">
      <c r="A20" s="35" t="n">
        <v>19</v>
      </c>
      <c r="B20" s="36" t="inlineStr">
        <is>
          <t>Observability, Cron &amp; Alerts</t>
        </is>
      </c>
      <c r="C20" s="36" t="inlineStr">
        <is>
          <t>The ops substrate that catches incidents: scheduled jobs (pg_cron), projector health, synthetic monitors probing both hosts, six alert rules, dead-letter handling, tested backups.</t>
        </is>
      </c>
      <c r="D20" s="36" t="inlineStr">
        <is>
          <t>pg_cron fires Edge Functions with anon Bearer + x-cron-secret from the vault → synthetic-host-monitor probes hosts → `health_check_log` → alert_rules evaluate (projector lag, dead letters, webhook failures, AI errors, cron silence, DB connection saturation) → notify a real channel. Backups are only real once a restore drill succeeds. HISTORY: a rotated cron secret once silenced monitoring for 17 days (4,887 consecutive 401s) with nobody paged — that is why these tests exist.</t>
        </is>
      </c>
      <c r="E20" s="36" t="inlineStr">
        <is>
          <t>health_check_log, alert_rules, alert_dispatches, subscriber_dead_letters, backup_status, ops_events, security_circuit_state, synthetic_monitor_results</t>
        </is>
      </c>
      <c r="F20" s="36" t="inlineStr">
        <is>
          <t>projector-runner, projector-health-check, synthetic-host-monitor, pg_cron jobs</t>
        </is>
      </c>
      <c r="G20" s="36" t="inlineStr">
        <is>
          <t>A dead cron nobody notices; alerts configured but never test-fired; dead letters accumulating silently; a backup that has never been restored.</t>
        </is>
      </c>
    </row>
    <row r="21" ht="43.25" customHeight="1" s="29">
      <c r="A21" s="35" t="n">
        <v>20</v>
      </c>
      <c r="B21" s="37" t="inlineStr">
        <is>
          <t>Dual-Host &amp; Deploy Hygiene</t>
        </is>
      </c>
      <c r="C21" s="37" t="inlineStr">
        <is>
          <t>Two compute hosts (Vercel serves all interactive traffic; AWS Fargate runs long batch jobs) share ONE Supabase. Drift between them is a first-class risk.</t>
        </is>
      </c>
      <c r="D21" s="37" t="inlineStr">
        <is>
          <t>Env vars follow a committed manifest with parity checked per deploy → exactly one webhook URL per provider, registered to Vercel only → every log line carries a host tag → deploys name their host(s) → removed routes answer 410/redirect (never silent 404).</t>
        </is>
      </c>
      <c r="E21" s="37" t="inlineStr">
        <is>
          <t>ops_events (host-tagged), env manifest (repo)</t>
        </is>
      </c>
      <c r="F21" s="37" t="inlineStr">
        <is>
          <t>deploy pipeline, synthetic-host-monitor</t>
        </is>
      </c>
      <c r="G21" s="37" t="inlineStr">
        <is>
          <t>A fix shipped to one host while the bug lives on the other; a webhook registered twice double-processing payments; env value differs silently between hosts.</t>
        </is>
      </c>
    </row>
    <row r="22" ht="53.7" customHeight="1" s="29">
      <c r="A22" s="35" t="n">
        <v>21</v>
      </c>
      <c r="B22" s="36" t="inlineStr">
        <is>
          <t>Frontend Experience (V3) &amp; Route Canon</t>
        </is>
      </c>
      <c r="C22" s="36" t="inlineStr">
        <is>
          <t>One visual system and ONE canonical route per destination per role. The platform previously ran three frontend generations at once — the root of the 'two admin UIs' incident. Feature flags gate the V3 experience per role.</t>
        </is>
      </c>
      <c r="D22" s="36" t="inlineStr">
        <is>
          <t>ff_ui_v3_* flags: the resolver honors BOTH is_enabled AND rollout_percentage (percentage 0 = fully dark even when enabled). Legacy routes must 301/410 to canonical ones; /dev/* and internal test pages are denied in production; Sentry captures client AND server errors via the instrumentation file.</t>
        </is>
      </c>
      <c r="E22" s="36" t="inlineStr">
        <is>
          <t>feature_flags</t>
        </is>
      </c>
      <c r="F22" s="36" t="inlineStr">
        <is>
          <t>feature-flag resolver, middleware redirects, Sentry instrumentation</t>
        </is>
      </c>
      <c r="G22" s="36" t="inlineStr">
        <is>
          <t>A student reaches two different UIs for the same feature; a dev gallery page publicly served; flags say ON but users see the old UI; server errors invisible to Sentry.</t>
        </is>
      </c>
    </row>
    <row r="23" ht="43.25" customHeight="1" s="29">
      <c r="A23" s="35" t="n">
        <v>22</v>
      </c>
      <c r="B23" s="37" t="inlineStr">
        <is>
          <t>Multilingual (English + Hindi)</t>
        </is>
      </c>
      <c r="C23" s="37" t="inlineStr">
        <is>
          <t>Hindi is a first-class language: content tables carry _hi columns, retrieval filters by language, and a missing language returns an explicit LANGUAGE_GAP with English offered — never a silent substitution.</t>
        </is>
      </c>
      <c r="D23" s="37" t="inlineStr">
        <is>
          <t>Language selection → retrieval filter language='hi' → Hindi chunks/questions where indexed → LANGUAGE_GAP otherwise. UI strings route through i18n, not hardcoded.</t>
        </is>
      </c>
      <c r="E23" s="37" t="inlineStr">
        <is>
          <t>question_bank.question_hi, cbse_syllabus.chapter_title_hi, rag_content_chunks.language</t>
        </is>
      </c>
      <c r="F23" s="37" t="inlineStr">
        <is>
          <t>grounded-answer language filter, i18n layer</t>
        </is>
      </c>
      <c r="G23" s="37" t="inlineStr">
        <is>
          <t>Hindi request silently answered in English; mixed-language mojibake; Devanagari rendering broken on low-end devices.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H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8" min="1" max="1"/>
    <col width="10" customWidth="1" style="28" min="2" max="2"/>
    <col width="46" customWidth="1" style="28" min="3" max="3"/>
    <col width="10" customWidth="1" style="28" min="4" max="7"/>
    <col width="12" customWidth="1" style="28" min="8" max="8"/>
  </cols>
  <sheetData>
    <row r="2" ht="18.55" customHeight="1" s="29">
      <c r="B2" s="38" t="inlineStr">
        <is>
          <t>LAUNCH READINESS DASHBOARD</t>
        </is>
      </c>
    </row>
    <row r="3" ht="15" customHeight="1" s="29">
      <c r="B3" s="39" t="inlineStr">
        <is>
          <t>Live counts pull from each module sheet's Status column. Green the whole P0 line before go-live.</t>
        </is>
      </c>
    </row>
    <row r="5" ht="15" customHeight="1" s="29">
      <c r="B5" s="40" t="inlineStr">
        <is>
          <t>Module</t>
        </is>
      </c>
      <c r="C5" s="40" t="inlineStr">
        <is>
          <t>Sheet</t>
        </is>
      </c>
      <c r="D5" s="40" t="inlineStr">
        <is>
          <t>Total</t>
        </is>
      </c>
      <c r="E5" s="40" t="inlineStr">
        <is>
          <t>Pass</t>
        </is>
      </c>
      <c r="F5" s="40" t="inlineStr">
        <is>
          <t>Fail</t>
        </is>
      </c>
      <c r="G5" s="40" t="inlineStr">
        <is>
          <t>Not Run</t>
        </is>
      </c>
      <c r="H5" s="40" t="inlineStr">
        <is>
          <t>% Pass</t>
        </is>
      </c>
    </row>
    <row r="6" ht="43.25" customHeight="1" s="29">
      <c r="B6" s="36" t="inlineStr">
        <is>
          <t>01 · Authentication, Signup &amp; Session</t>
        </is>
      </c>
      <c r="C6" s="36" t="inlineStr">
        <is>
          <t>01_AUTH</t>
        </is>
      </c>
      <c r="D6" s="41">
        <f>COUNTA(01_AUTH!A3:A12)</f>
        <v/>
      </c>
      <c r="E6" s="41">
        <f>COUNTIF(01_AUTH!J3:J12,"PASS")</f>
        <v/>
      </c>
      <c r="F6" s="41">
        <f>COUNTIF(01_AUTH!J3:J12,"FAIL")</f>
        <v/>
      </c>
      <c r="G6" s="41">
        <f>COUNTIF(01_AUTH!J3:J12,"NOT RUN")</f>
        <v/>
      </c>
      <c r="H6" s="42">
        <f>IF(D6=0,0,E6/D6)</f>
        <v/>
      </c>
    </row>
    <row r="7" ht="53.7" customHeight="1" s="29">
      <c r="B7" s="37" t="inlineStr">
        <is>
          <t>02 · Student Core — Quiz Loop &amp; Mastery (BKT)</t>
        </is>
      </c>
      <c r="C7" s="37" t="inlineStr">
        <is>
          <t>02_QUIZ</t>
        </is>
      </c>
      <c r="D7" s="43">
        <f>COUNTA(02_QUIZ!A3:A13)</f>
        <v/>
      </c>
      <c r="E7" s="43">
        <f>COUNTIF(02_QUIZ!J3:J13,"PASS")</f>
        <v/>
      </c>
      <c r="F7" s="43">
        <f>COUNTIF(02_QUIZ!J3:J13,"FAIL")</f>
        <v/>
      </c>
      <c r="G7" s="43">
        <f>COUNTIF(02_QUIZ!J3:J13,"NOT RUN")</f>
        <v/>
      </c>
      <c r="H7" s="44">
        <f>IF(D7=0,0,E7/D7)</f>
        <v/>
      </c>
    </row>
    <row r="8" ht="53.7" customHeight="1" s="29">
      <c r="B8" s="36" t="inlineStr">
        <is>
          <t>03 · Foxy AI Tutor (Grounded, NCERT-only)</t>
        </is>
      </c>
      <c r="C8" s="36" t="inlineStr">
        <is>
          <t>03_FOXY</t>
        </is>
      </c>
      <c r="D8" s="41">
        <f>COUNTA(03_FOXY!A3:A11)</f>
        <v/>
      </c>
      <c r="E8" s="41">
        <f>COUNTIF(03_FOXY!J3:J11,"PASS")</f>
        <v/>
      </c>
      <c r="F8" s="41">
        <f>COUNTIF(03_FOXY!J3:J11,"FAIL")</f>
        <v/>
      </c>
      <c r="G8" s="41">
        <f>COUNTIF(03_FOXY!J3:J11,"NOT RUN")</f>
        <v/>
      </c>
      <c r="H8" s="42">
        <f>IF(D8=0,0,E8/D8)</f>
        <v/>
      </c>
    </row>
    <row r="9" ht="43.25" customHeight="1" s="29">
      <c r="B9" s="37" t="inlineStr">
        <is>
          <t>04 · Content &amp; RAG Supply Chain</t>
        </is>
      </c>
      <c r="C9" s="37" t="inlineStr">
        <is>
          <t>04_RAG</t>
        </is>
      </c>
      <c r="D9" s="43">
        <f>COUNTA(04_RAG!A3:A10)</f>
        <v/>
      </c>
      <c r="E9" s="43">
        <f>COUNTIF(04_RAG!J3:J10,"PASS")</f>
        <v/>
      </c>
      <c r="F9" s="43">
        <f>COUNTIF(04_RAG!J3:J10,"FAIL")</f>
        <v/>
      </c>
      <c r="G9" s="43">
        <f>COUNTIF(04_RAG!J3:J10,"NOT RUN")</f>
        <v/>
      </c>
      <c r="H9" s="44">
        <f>IF(D9=0,0,E9/D9)</f>
        <v/>
      </c>
    </row>
    <row r="10" ht="22.35" customHeight="1" s="29">
      <c r="B10" s="36" t="inlineStr">
        <is>
          <t>05 · Parent Vertical</t>
        </is>
      </c>
      <c r="C10" s="36" t="inlineStr">
        <is>
          <t>05_PAR</t>
        </is>
      </c>
      <c r="D10" s="41">
        <f>COUNTA(05_PAR!A3:A8)</f>
        <v/>
      </c>
      <c r="E10" s="41">
        <f>COUNTIF(05_PAR!J3:J8,"PASS")</f>
        <v/>
      </c>
      <c r="F10" s="41">
        <f>COUNTIF(05_PAR!J3:J8,"FAIL")</f>
        <v/>
      </c>
      <c r="G10" s="41">
        <f>COUNTIF(05_PAR!J3:J8,"NOT RUN")</f>
        <v/>
      </c>
      <c r="H10" s="42">
        <f>IF(D10=0,0,E10/D10)</f>
        <v/>
      </c>
    </row>
    <row r="11" ht="32.8" customHeight="1" s="29">
      <c r="B11" s="37" t="inlineStr">
        <is>
          <t>06 · DPDP, Consent &amp; Data Rights</t>
        </is>
      </c>
      <c r="C11" s="37" t="inlineStr">
        <is>
          <t>06_DPDP</t>
        </is>
      </c>
      <c r="D11" s="43">
        <f>COUNTA(06_DPDP!A3:A7)</f>
        <v/>
      </c>
      <c r="E11" s="43">
        <f>COUNTIF(06_DPDP!J3:J7,"PASS")</f>
        <v/>
      </c>
      <c r="F11" s="43">
        <f>COUNTIF(06_DPDP!J3:J7,"FAIL")</f>
        <v/>
      </c>
      <c r="G11" s="43">
        <f>COUNTIF(06_DPDP!J3:J7,"NOT RUN")</f>
        <v/>
      </c>
      <c r="H11" s="44">
        <f>IF(D11=0,0,E11/D11)</f>
        <v/>
      </c>
    </row>
    <row r="12" ht="32.8" customHeight="1" s="29">
      <c r="B12" s="36" t="inlineStr">
        <is>
          <t>07 · Teacher Vertical</t>
        </is>
      </c>
      <c r="C12" s="36" t="inlineStr">
        <is>
          <t>07_TEA</t>
        </is>
      </c>
      <c r="D12" s="41">
        <f>COUNTA(07_TEA!A3:A8)</f>
        <v/>
      </c>
      <c r="E12" s="41">
        <f>COUNTIF(07_TEA!J3:J8,"PASS")</f>
        <v/>
      </c>
      <c r="F12" s="41">
        <f>COUNTIF(07_TEA!J3:J8,"FAIL")</f>
        <v/>
      </c>
      <c r="G12" s="41">
        <f>COUNTIF(07_TEA!J3:J8,"NOT RUN")</f>
        <v/>
      </c>
      <c r="H12" s="42">
        <f>IF(D12=0,0,E12/D12)</f>
        <v/>
      </c>
    </row>
    <row r="13" ht="43.25" customHeight="1" s="29">
      <c r="B13" s="37" t="inlineStr">
        <is>
          <t>08 · School Admin Vertical (B2B)</t>
        </is>
      </c>
      <c r="C13" s="37" t="inlineStr">
        <is>
          <t>08_SCH</t>
        </is>
      </c>
      <c r="D13" s="43">
        <f>COUNTA(08_SCH!A3:A10)</f>
        <v/>
      </c>
      <c r="E13" s="43">
        <f>COUNTIF(08_SCH!J3:J10,"PASS")</f>
        <v/>
      </c>
      <c r="F13" s="43">
        <f>COUNTIF(08_SCH!J3:J10,"FAIL")</f>
        <v/>
      </c>
      <c r="G13" s="43">
        <f>COUNTIF(08_SCH!J3:J10,"NOT RUN")</f>
        <v/>
      </c>
      <c r="H13" s="44">
        <f>IF(D13=0,0,E13/D13)</f>
        <v/>
      </c>
    </row>
    <row r="14" ht="32.8" customHeight="1" s="29">
      <c r="B14" s="36" t="inlineStr">
        <is>
          <t>09 · Super Admin Console</t>
        </is>
      </c>
      <c r="C14" s="36" t="inlineStr">
        <is>
          <t>09_SUP</t>
        </is>
      </c>
      <c r="D14" s="41">
        <f>COUNTA(09_SUP!A3:A7)</f>
        <v/>
      </c>
      <c r="E14" s="41">
        <f>COUNTIF(09_SUP!J3:J7,"PASS")</f>
        <v/>
      </c>
      <c r="F14" s="41">
        <f>COUNTIF(09_SUP!J3:J7,"FAIL")</f>
        <v/>
      </c>
      <c r="G14" s="41">
        <f>COUNTIF(09_SUP!J3:J7,"NOT RUN")</f>
        <v/>
      </c>
      <c r="H14" s="42">
        <f>IF(D14=0,0,E14/D14)</f>
        <v/>
      </c>
    </row>
    <row r="15" ht="53.7" customHeight="1" s="29">
      <c r="B15" s="37" t="inlineStr">
        <is>
          <t>10 · Payments (Razorpay) — D2C &amp; B2B</t>
        </is>
      </c>
      <c r="C15" s="37" t="inlineStr">
        <is>
          <t>10_PAY</t>
        </is>
      </c>
      <c r="D15" s="43">
        <f>COUNTA(10_PAY!A3:A10)</f>
        <v/>
      </c>
      <c r="E15" s="43">
        <f>COUNTIF(10_PAY!J3:J10,"PASS")</f>
        <v/>
      </c>
      <c r="F15" s="43">
        <f>COUNTIF(10_PAY!J3:J10,"FAIL")</f>
        <v/>
      </c>
      <c r="G15" s="43">
        <f>COUNTIF(10_PAY!J3:J10,"NOT RUN")</f>
        <v/>
      </c>
      <c r="H15" s="44">
        <f>IF(D15=0,0,E15/D15)</f>
        <v/>
      </c>
    </row>
    <row r="16" ht="32.8" customHeight="1" s="29">
      <c r="B16" s="36" t="inlineStr">
        <is>
          <t>11 · Quotas &amp; Entitlements</t>
        </is>
      </c>
      <c r="C16" s="36" t="inlineStr">
        <is>
          <t>11_QUO</t>
        </is>
      </c>
      <c r="D16" s="41">
        <f>COUNTA(11_QUO!A3:A6)</f>
        <v/>
      </c>
      <c r="E16" s="41">
        <f>COUNTIF(11_QUO!J3:J6,"PASS")</f>
        <v/>
      </c>
      <c r="F16" s="41">
        <f>COUNTIF(11_QUO!J3:J6,"FAIL")</f>
        <v/>
      </c>
      <c r="G16" s="41">
        <f>COUNTIF(11_QUO!J3:J6,"NOT RUN")</f>
        <v/>
      </c>
      <c r="H16" s="42">
        <f>IF(D16=0,0,E16/D16)</f>
        <v/>
      </c>
    </row>
    <row r="17" ht="22.35" customHeight="1" s="29">
      <c r="B17" s="37" t="inlineStr">
        <is>
          <t>12 · Gamification</t>
        </is>
      </c>
      <c r="C17" s="37" t="inlineStr">
        <is>
          <t>12_GAM</t>
        </is>
      </c>
      <c r="D17" s="43">
        <f>COUNTA(12_GAM!A3:A6)</f>
        <v/>
      </c>
      <c r="E17" s="43">
        <f>COUNTIF(12_GAM!J3:J6,"PASS")</f>
        <v/>
      </c>
      <c r="F17" s="43">
        <f>COUNTIF(12_GAM!J3:J6,"FAIL")</f>
        <v/>
      </c>
      <c r="G17" s="43">
        <f>COUNTIF(12_GAM!J3:J6,"NOT RUN")</f>
        <v/>
      </c>
      <c r="H17" s="44">
        <f>IF(D17=0,0,E17/D17)</f>
        <v/>
      </c>
    </row>
    <row r="18" ht="43.25" customHeight="1" s="29">
      <c r="B18" s="36" t="inlineStr">
        <is>
          <t>13 · Observability, Cron &amp; Alerts</t>
        </is>
      </c>
      <c r="C18" s="36" t="inlineStr">
        <is>
          <t>13_OPS</t>
        </is>
      </c>
      <c r="D18" s="41">
        <f>COUNTA(13_OPS!A3:A9)</f>
        <v/>
      </c>
      <c r="E18" s="41">
        <f>COUNTIF(13_OPS!J3:J9,"PASS")</f>
        <v/>
      </c>
      <c r="F18" s="41">
        <f>COUNTIF(13_OPS!J3:J9,"FAIL")</f>
        <v/>
      </c>
      <c r="G18" s="41">
        <f>COUNTIF(13_OPS!J3:J9,"NOT RUN")</f>
        <v/>
      </c>
      <c r="H18" s="42">
        <f>IF(D18=0,0,E18/D18)</f>
        <v/>
      </c>
    </row>
    <row r="19" ht="43.25" customHeight="1" s="29">
      <c r="B19" s="37" t="inlineStr">
        <is>
          <t>14 · Dual-Host &amp; Deploy Hygiene</t>
        </is>
      </c>
      <c r="C19" s="37" t="inlineStr">
        <is>
          <t>14_HOST</t>
        </is>
      </c>
      <c r="D19" s="43">
        <f>COUNTA(14_HOST!A3:A8)</f>
        <v/>
      </c>
      <c r="E19" s="43">
        <f>COUNTIF(14_HOST!J3:J8,"PASS")</f>
        <v/>
      </c>
      <c r="F19" s="43">
        <f>COUNTIF(14_HOST!J3:J8,"FAIL")</f>
        <v/>
      </c>
      <c r="G19" s="43">
        <f>COUNTIF(14_HOST!J3:J8,"NOT RUN")</f>
        <v/>
      </c>
      <c r="H19" s="44">
        <f>IF(D19=0,0,E19/D19)</f>
        <v/>
      </c>
    </row>
    <row r="20" ht="53.7" customHeight="1" s="29">
      <c r="B20" s="36" t="inlineStr">
        <is>
          <t>15 · Frontend Experience &amp; Route Canon</t>
        </is>
      </c>
      <c r="C20" s="36" t="inlineStr">
        <is>
          <t>15_FE</t>
        </is>
      </c>
      <c r="D20" s="41">
        <f>COUNTA(15_FE!A3:A9)</f>
        <v/>
      </c>
      <c r="E20" s="41">
        <f>COUNTIF(15_FE!J3:J9,"PASS")</f>
        <v/>
      </c>
      <c r="F20" s="41">
        <f>COUNTIF(15_FE!J3:J9,"FAIL")</f>
        <v/>
      </c>
      <c r="G20" s="41">
        <f>COUNTIF(15_FE!J3:J9,"NOT RUN")</f>
        <v/>
      </c>
      <c r="H20" s="42">
        <f>IF(D20=0,0,E20/D20)</f>
        <v/>
      </c>
    </row>
    <row r="21" ht="43.25" customHeight="1" s="29">
      <c r="B21" s="37" t="inlineStr">
        <is>
          <t>16 · Security, RBAC &amp; RLS</t>
        </is>
      </c>
      <c r="C21" s="37" t="inlineStr">
        <is>
          <t>16_SEC</t>
        </is>
      </c>
      <c r="D21" s="43">
        <f>COUNTA(16_SEC!A3:A10)</f>
        <v/>
      </c>
      <c r="E21" s="43">
        <f>COUNTIF(16_SEC!J3:J10,"PASS")</f>
        <v/>
      </c>
      <c r="F21" s="43">
        <f>COUNTIF(16_SEC!J3:J10,"FAIL")</f>
        <v/>
      </c>
      <c r="G21" s="43">
        <f>COUNTIF(16_SEC!J3:J10,"NOT RUN")</f>
        <v/>
      </c>
      <c r="H21" s="44">
        <f>IF(D21=0,0,E21/D21)</f>
        <v/>
      </c>
    </row>
    <row r="22" ht="43.25" customHeight="1" s="29">
      <c r="B22" s="36" t="inlineStr">
        <is>
          <t>17 · Multilingual (English + Hindi)</t>
        </is>
      </c>
      <c r="C22" s="36" t="inlineStr">
        <is>
          <t>17_I18N</t>
        </is>
      </c>
      <c r="D22" s="41">
        <f>COUNTA(17_I18N!A3:A6)</f>
        <v/>
      </c>
      <c r="E22" s="41">
        <f>COUNTIF(17_I18N!J3:J6,"PASS")</f>
        <v/>
      </c>
      <c r="F22" s="41">
        <f>COUNTIF(17_I18N!J3:J6,"FAIL")</f>
        <v/>
      </c>
      <c r="G22" s="41">
        <f>COUNTIF(17_I18N!J3:J6,"NOT RUN")</f>
        <v/>
      </c>
      <c r="H22" s="42">
        <f>IF(D22=0,0,E22/D22)</f>
        <v/>
      </c>
    </row>
    <row r="23" ht="32.8" customHeight="1" s="29">
      <c r="B23" s="37" t="inlineStr">
        <is>
          <t>18 · Performance &amp; Scale</t>
        </is>
      </c>
      <c r="C23" s="37" t="inlineStr">
        <is>
          <t>18_PERF</t>
        </is>
      </c>
      <c r="D23" s="43">
        <f>COUNTA(18_PERF!A3:A6)</f>
        <v/>
      </c>
      <c r="E23" s="43">
        <f>COUNTIF(18_PERF!J3:J6,"PASS")</f>
        <v/>
      </c>
      <c r="F23" s="43">
        <f>COUNTIF(18_PERF!J3:J6,"FAIL")</f>
        <v/>
      </c>
      <c r="G23" s="43">
        <f>COUNTIF(18_PERF!J3:J6,"NOT RUN")</f>
        <v/>
      </c>
      <c r="H23" s="44">
        <f>IF(D23=0,0,E23/D23)</f>
        <v/>
      </c>
    </row>
    <row r="24" ht="64.15000000000001" customHeight="1" s="29">
      <c r="B24" s="36" t="inlineStr">
        <is>
          <t>19 · Cross-Cutting Seams (all in ONE rehearsal run)</t>
        </is>
      </c>
      <c r="C24" s="36" t="inlineStr">
        <is>
          <t>19_SEAM</t>
        </is>
      </c>
      <c r="D24" s="41">
        <f>COUNTA(19_SEAM!A3:A7)</f>
        <v/>
      </c>
      <c r="E24" s="41">
        <f>COUNTIF(19_SEAM!J3:J7,"PASS")</f>
        <v/>
      </c>
      <c r="F24" s="41">
        <f>COUNTIF(19_SEAM!J3:J7,"FAIL")</f>
        <v/>
      </c>
      <c r="G24" s="41">
        <f>COUNTIF(19_SEAM!J3:J7,"NOT RUN")</f>
        <v/>
      </c>
      <c r="H24" s="42">
        <f>IF(D24=0,0,E24/D24)</f>
        <v/>
      </c>
    </row>
    <row r="25" ht="64.15000000000001" customHeight="1" s="29">
      <c r="B25" s="37" t="inlineStr">
        <is>
          <t>20 · Regression — Known Incidents Must Not Recur</t>
        </is>
      </c>
      <c r="C25" s="37" t="inlineStr">
        <is>
          <t>20_REG</t>
        </is>
      </c>
      <c r="D25" s="43">
        <f>COUNTA(20_REG!A3:A8)</f>
        <v/>
      </c>
      <c r="E25" s="43">
        <f>COUNTIF(20_REG!J3:J8,"PASS")</f>
        <v/>
      </c>
      <c r="F25" s="43">
        <f>COUNTIF(20_REG!J3:J8,"FAIL")</f>
        <v/>
      </c>
      <c r="G25" s="43">
        <f>COUNTIF(20_REG!J3:J8,"NOT RUN")</f>
        <v/>
      </c>
      <c r="H25" s="44">
        <f>IF(D25=0,0,E25/D25)</f>
        <v/>
      </c>
    </row>
    <row r="26" ht="43.25" customHeight="1" s="29">
      <c r="B26" s="36" t="inlineStr">
        <is>
          <t>21 · Matrix — RBAC (Route Area × Role)</t>
        </is>
      </c>
      <c r="C26" s="36" t="inlineStr">
        <is>
          <t>21_MX_RBAC</t>
        </is>
      </c>
      <c r="D26" s="41">
        <f>COUNTA(21_MX_RBAC!A3:A98)</f>
        <v/>
      </c>
      <c r="E26" s="41">
        <f>COUNTIF(21_MX_RBAC!J3:J98,"PASS")</f>
        <v/>
      </c>
      <c r="F26" s="41">
        <f>COUNTIF(21_MX_RBAC!J3:J98,"FAIL")</f>
        <v/>
      </c>
      <c r="G26" s="41">
        <f>COUNTIF(21_MX_RBAC!J3:J98,"NOT RUN")</f>
        <v/>
      </c>
      <c r="H26" s="42">
        <f>IF(D26=0,0,E26/D26)</f>
        <v/>
      </c>
    </row>
    <row r="27" ht="43.25" customHeight="1" s="29">
      <c r="B27" s="37" t="inlineStr">
        <is>
          <t>22 · Matrix — RLS Data Isolation (per table)</t>
        </is>
      </c>
      <c r="C27" s="37" t="inlineStr">
        <is>
          <t>22_MX_RLS</t>
        </is>
      </c>
      <c r="D27" s="43">
        <f>COUNTA(22_MX_RLS!A3:A42)</f>
        <v/>
      </c>
      <c r="E27" s="43">
        <f>COUNTIF(22_MX_RLS!J3:J42,"PASS")</f>
        <v/>
      </c>
      <c r="F27" s="43">
        <f>COUNTIF(22_MX_RLS!J3:J42,"FAIL")</f>
        <v/>
      </c>
      <c r="G27" s="43">
        <f>COUNTIF(22_MX_RLS!J3:J42,"NOT RUN")</f>
        <v/>
      </c>
      <c r="H27" s="44">
        <f>IF(D27=0,0,E27/D27)</f>
        <v/>
      </c>
    </row>
    <row r="28" ht="64.15000000000001" customHeight="1" s="29">
      <c r="B28" s="36" t="inlineStr">
        <is>
          <t>23 · Matrix — Content Coverage (Grade × Subject × Dimension)</t>
        </is>
      </c>
      <c r="C28" s="36" t="inlineStr">
        <is>
          <t>23_MX_CONTENT</t>
        </is>
      </c>
      <c r="D28" s="41">
        <f>COUNTA(23_MX_CONTENT!A3:A212)</f>
        <v/>
      </c>
      <c r="E28" s="41">
        <f>COUNTIF(23_MX_CONTENT!J3:J212,"PASS")</f>
        <v/>
      </c>
      <c r="F28" s="41">
        <f>COUNTIF(23_MX_CONTENT!J3:J212,"FAIL")</f>
        <v/>
      </c>
      <c r="G28" s="41">
        <f>COUNTIF(23_MX_CONTENT!J3:J212,"NOT RUN")</f>
        <v/>
      </c>
      <c r="H28" s="42">
        <f>IF(D28=0,0,E28/D28)</f>
        <v/>
      </c>
    </row>
    <row r="29" ht="64.15000000000001" customHeight="1" s="29">
      <c r="B29" s="37" t="inlineStr">
        <is>
          <t>24 · Matrix — Input Validation (Endpoint × Malformed Input)</t>
        </is>
      </c>
      <c r="C29" s="37" t="inlineStr">
        <is>
          <t>24_MX_INPUT</t>
        </is>
      </c>
      <c r="D29" s="43">
        <f>COUNTA(24_MX_INPUT!A3:A170)</f>
        <v/>
      </c>
      <c r="E29" s="43">
        <f>COUNTIF(24_MX_INPUT!J3:J170,"PASS")</f>
        <v/>
      </c>
      <c r="F29" s="43">
        <f>COUNTIF(24_MX_INPUT!J3:J170,"FAIL")</f>
        <v/>
      </c>
      <c r="G29" s="43">
        <f>COUNTIF(24_MX_INPUT!J3:J170,"NOT RUN")</f>
        <v/>
      </c>
      <c r="H29" s="44">
        <f>IF(D29=0,0,E29/D29)</f>
        <v/>
      </c>
    </row>
    <row r="30" ht="53.7" customHeight="1" s="29">
      <c r="B30" s="36" t="inlineStr">
        <is>
          <t>25 · Matrix — Device &amp; Browser (Screen × Device)</t>
        </is>
      </c>
      <c r="C30" s="36" t="inlineStr">
        <is>
          <t>25_MX_DEVICE</t>
        </is>
      </c>
      <c r="D30" s="41">
        <f>COUNTA(25_MX_DEVICE!A3:A79)</f>
        <v/>
      </c>
      <c r="E30" s="41">
        <f>COUNTIF(25_MX_DEVICE!J3:J79,"PASS")</f>
        <v/>
      </c>
      <c r="F30" s="41">
        <f>COUNTIF(25_MX_DEVICE!J3:J79,"FAIL")</f>
        <v/>
      </c>
      <c r="G30" s="41">
        <f>COUNTIF(25_MX_DEVICE!J3:J79,"NOT RUN")</f>
        <v/>
      </c>
      <c r="H30" s="42">
        <f>IF(D30=0,0,E30/D30)</f>
        <v/>
      </c>
    </row>
    <row r="31" ht="64.15000000000001" customHeight="1" s="29">
      <c r="B31" s="37" t="inlineStr">
        <is>
          <t>26 · Matrix — Edge Function Smoke &amp; Observability</t>
        </is>
      </c>
      <c r="C31" s="37" t="inlineStr">
        <is>
          <t>26_MX_EDGE</t>
        </is>
      </c>
      <c r="D31" s="43">
        <f>COUNTA(26_MX_EDGE!A3:A174)</f>
        <v/>
      </c>
      <c r="E31" s="43">
        <f>COUNTIF(26_MX_EDGE!J3:J174,"PASS")</f>
        <v/>
      </c>
      <c r="F31" s="43">
        <f>COUNTIF(26_MX_EDGE!J3:J174,"FAIL")</f>
        <v/>
      </c>
      <c r="G31" s="43">
        <f>COUNTIF(26_MX_EDGE!J3:J174,"NOT RUN")</f>
        <v/>
      </c>
      <c r="H31" s="44">
        <f>IF(D31=0,0,E31/D31)</f>
        <v/>
      </c>
    </row>
    <row r="32" ht="74.59999999999999" customHeight="1" s="29">
      <c r="B32" s="36" t="inlineStr">
        <is>
          <t>27 · Matrix — Navigation No-Blank-Page (Role × Destination)</t>
        </is>
      </c>
      <c r="C32" s="36" t="inlineStr">
        <is>
          <t>27_MX_NAV</t>
        </is>
      </c>
      <c r="D32" s="41">
        <f>COUNTA(27_MX_NAV!A3:A58)</f>
        <v/>
      </c>
      <c r="E32" s="41">
        <f>COUNTIF(27_MX_NAV!J3:J58,"PASS")</f>
        <v/>
      </c>
      <c r="F32" s="41">
        <f>COUNTIF(27_MX_NAV!J3:J58,"FAIL")</f>
        <v/>
      </c>
      <c r="G32" s="41">
        <f>COUNTIF(27_MX_NAV!J3:J58,"NOT RUN")</f>
        <v/>
      </c>
      <c r="H32" s="42">
        <f>IF(D32=0,0,E32/D32)</f>
        <v/>
      </c>
    </row>
    <row r="33" ht="15" customHeight="1" s="29">
      <c r="B33" s="45" t="inlineStr">
        <is>
          <t>TOTAL</t>
        </is>
      </c>
      <c r="C33" s="46" t="n"/>
      <c r="D33" s="46">
        <f>SUM(D6:D32)</f>
        <v/>
      </c>
      <c r="E33" s="46">
        <f>SUM(E6:E32)</f>
        <v/>
      </c>
      <c r="F33" s="46">
        <f>SUM(F6:F32)</f>
        <v/>
      </c>
      <c r="G33" s="46">
        <f>SUM(G6:G32)</f>
        <v/>
      </c>
      <c r="H33" s="47">
        <f>IF(D33=0,0,E33/D33)</f>
        <v/>
      </c>
    </row>
    <row r="36" ht="15" customHeight="1" s="29">
      <c r="B36" s="48" t="inlineStr">
        <is>
          <t>GO / NO-GO SIGN-OFF</t>
        </is>
      </c>
    </row>
    <row r="37" ht="23.85" customHeight="1" s="29">
      <c r="B37" s="49" t="inlineStr">
        <is>
          <t>GO requires ALL of: 100% of P0 = PASS · 100% of P1 = PASS or written CEO waiver · all four SEAM tests passed in ONE rehearsal run · evidence folder complete.</t>
        </is>
      </c>
    </row>
    <row r="39" ht="15" customHeight="1" s="29">
      <c r="B39" s="50" t="n"/>
    </row>
    <row r="41" ht="15" customHeight="1" s="29">
      <c r="B41" s="50" t="inlineStr">
        <is>
          <t>QA Lead (name / signature / date): ______________________________________</t>
        </is>
      </c>
    </row>
    <row r="43" ht="15" customHeight="1" s="29">
      <c r="B43" s="50" t="inlineStr">
        <is>
          <t>Engineering Lead (name / signature / date): ______________________________</t>
        </is>
      </c>
    </row>
    <row r="45" ht="15" customHeight="1" s="29">
      <c r="B45" s="50" t="inlineStr">
        <is>
          <t>CEO — approves any waiver line-by-line (name / signature / date): ________</t>
        </is>
      </c>
    </row>
  </sheetData>
  <mergeCells count="5">
    <mergeCell ref="B41:H41"/>
    <mergeCell ref="B43:H43"/>
    <mergeCell ref="B39:H39"/>
    <mergeCell ref="B37:H37"/>
    <mergeCell ref="B45:H4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51" t="inlineStr">
        <is>
          <t>ALFANUMRIK MASTER QA — CLAUDE EXECUTION PLAN (confirmation of approach)</t>
        </is>
      </c>
    </row>
    <row r="3">
      <c r="A3" s="51" t="inlineStr">
        <is>
          <t>Hard rule: DO NOT FAKE. PASS only with auditable evidence (SQL+result / request-response / screenshot+URL+timestamp).</t>
        </is>
      </c>
    </row>
    <row r="4">
      <c r="A4" s="28" t="inlineStr">
        <is>
          <t>Status column is only changed when a test is genuinely executed with evidence. Rows I cannot verify stay NOT RUN with the unblock reason in Notes.</t>
        </is>
      </c>
    </row>
    <row r="6">
      <c r="A6" s="51" t="inlineStr">
        <is>
          <t>EVIDENCE TIER LEGEND</t>
        </is>
      </c>
    </row>
    <row r="7">
      <c r="A7" s="28" t="inlineStr">
        <is>
          <t>T1</t>
        </is>
      </c>
      <c r="B7" s="28" t="inlineStr">
        <is>
          <t>Phase 1</t>
        </is>
      </c>
      <c r="C7" s="28" t="inlineStr">
        <is>
          <t>static code/config/migration review, file:line evidence</t>
        </is>
      </c>
      <c r="D7" s="28" t="inlineStr"/>
    </row>
    <row r="8">
      <c r="A8" s="28" t="inlineStr">
        <is>
          <t>T2</t>
        </is>
      </c>
      <c r="B8" s="28" t="inlineStr">
        <is>
          <t>Phase 2</t>
        </is>
      </c>
      <c r="C8" s="28" t="inlineStr">
        <is>
          <t>repo's own vitest/Playwright suite, run headless</t>
        </is>
      </c>
      <c r="D8" s="28" t="inlineStr"/>
    </row>
    <row r="9">
      <c r="A9" s="28" t="inlineStr">
        <is>
          <t>T3</t>
        </is>
      </c>
      <c r="B9" s="28" t="inlineStr">
        <is>
          <t>Phase 3</t>
        </is>
      </c>
      <c r="C9" s="28" t="inlineStr">
        <is>
          <t>parametrized SQL probe via live/staging Supabase</t>
        </is>
      </c>
      <c r="D9" s="28" t="inlineStr">
        <is>
          <t>awaiting live/staging Supabase read access + A/B test accounts</t>
        </is>
      </c>
    </row>
    <row r="10">
      <c r="A10" s="28" t="inlineStr">
        <is>
          <t>T4</t>
        </is>
      </c>
      <c r="B10" s="28" t="inlineStr">
        <is>
          <t>Phase 4</t>
        </is>
      </c>
      <c r="C10" s="28" t="inlineStr">
        <is>
          <t>Playwright/authenticated-API against running env</t>
        </is>
      </c>
      <c r="D10" s="28" t="inlineStr">
        <is>
          <t>awaiting running staging URL + test accounts</t>
        </is>
      </c>
    </row>
    <row r="11">
      <c r="A11" s="28" t="inlineStr">
        <is>
          <t>T5</t>
        </is>
      </c>
      <c r="B11" s="28" t="inlineStr">
        <is>
          <t>Phase 5</t>
        </is>
      </c>
      <c r="C11" s="28" t="inlineStr">
        <is>
          <t>human-executed (real money/device/inbox)</t>
        </is>
      </c>
      <c r="D11" s="28" t="inlineStr">
        <is>
          <t>awaiting human executor (LIVE keys / physical device / real inbox)</t>
        </is>
      </c>
    </row>
    <row r="13">
      <c r="A13" s="51" t="inlineStr">
        <is>
          <t>ROW COUNT BY TIER (this workbook)</t>
        </is>
      </c>
    </row>
    <row r="14">
      <c r="A14" s="28" t="inlineStr">
        <is>
          <t>T1</t>
        </is>
      </c>
      <c r="B14" s="28" t="n">
        <v>44</v>
      </c>
    </row>
    <row r="15">
      <c r="A15" s="28" t="inlineStr">
        <is>
          <t>T2</t>
        </is>
      </c>
      <c r="B15" s="28" t="n">
        <v>61</v>
      </c>
    </row>
    <row r="16">
      <c r="A16" s="28" t="inlineStr">
        <is>
          <t>T3</t>
        </is>
      </c>
      <c r="B16" s="28" t="n">
        <v>121</v>
      </c>
    </row>
    <row r="17">
      <c r="A17" s="28" t="inlineStr">
        <is>
          <t>T4</t>
        </is>
      </c>
      <c r="B17" s="28" t="n">
        <v>714</v>
      </c>
    </row>
    <row r="18">
      <c r="A18" s="28" t="inlineStr">
        <is>
          <t>T5</t>
        </is>
      </c>
      <c r="B18" s="28" t="n">
        <v>10</v>
      </c>
    </row>
    <row r="20">
      <c r="A20" s="51" t="inlineStr">
        <is>
          <t>DEFAULT SCOPE THIS PASS</t>
        </is>
      </c>
    </row>
    <row r="21">
      <c r="A21" s="28" t="inlineStr">
        <is>
          <t>Phase 0: instrument every row (Notes+Tester) — DONE by this sheet.</t>
        </is>
      </c>
    </row>
    <row r="22">
      <c r="A22" s="28" t="inlineStr">
        <is>
          <t>Phase 1 (T1 static) + Phase 2 (T2 auto-suite): executed now with real evidence -&gt; Status set to PASS/FAIL.</t>
        </is>
      </c>
    </row>
    <row r="23">
      <c r="A23" s="28" t="inlineStr">
        <is>
          <t>Phase 3/4/5 (T3 live-DB, T4 live-browser, T5 manual): NOT RUN this pass — unblock reason in each row Notes.</t>
        </is>
      </c>
    </row>
    <row r="24">
      <c r="A24" s="28" t="inlineStr">
        <is>
          <t>Output: updated .xlsx + evidence/ committed to claude/qa-sheet-testing-phases-xkrtmf + draft PR.</t>
        </is>
      </c>
    </row>
    <row r="26">
      <c r="A26" s="51" t="inlineStr">
        <is>
          <t>TERMINOLOGY RECONCILIATIONS (findings surfaced before testing)</t>
        </is>
      </c>
    </row>
    <row r="27">
      <c r="A27" s="28" t="inlineStr">
        <is>
          <t>CURRICULUM_GAP: no literal token; implemented as grounded-answer/{abstain,coverage,confidence}.ts + content_gap.</t>
        </is>
      </c>
    </row>
    <row r="28">
      <c r="A28" s="28" t="inlineStr">
        <is>
          <t>LANGUAGE_GAP: NOT implemented in code (docs only) -&gt; FOXY-0004 / 17_I18N candidate defect, not a pass.</t>
        </is>
      </c>
    </row>
    <row r="29">
      <c r="A29" s="28" t="inlineStr">
        <is>
          <t>ff_ui_v3_*: actually one_experience_v3_* — seeded -&gt; force-disabled -&gt; REMOVED; 15_FE flag rows reframed.</t>
        </is>
      </c>
    </row>
    <row r="30">
      <c r="A30" s="28" t="inlineStr">
        <is>
          <t>Edge matrix 172 rows = 43 functions x 4 properties (happy/logs/auth/failure), not one row per function.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01 · Authentication, Signup &amp; Session   —   10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43.25" customHeight="1" s="29">
      <c r="A3" s="36" t="inlineStr">
        <is>
          <t>AUTH-0001</t>
        </is>
      </c>
      <c r="B3" s="53" t="inlineStr">
        <is>
          <t>P0</t>
        </is>
      </c>
      <c r="C3" s="36" t="inlineStr">
        <is>
          <t>Frontend+Backend</t>
        </is>
      </c>
      <c r="D3" s="36" t="inlineStr">
        <is>
          <t>Student signup (happy path)</t>
        </is>
      </c>
      <c r="E3" s="36" t="inlineStr">
        <is>
          <t>Signup is the front door for every D2C student. If it half-succeeds (auth user with no profile row) the account is a ghost that can log in but has no data — a support nightmare and a silent funnel leak.</t>
        </is>
      </c>
      <c r="F3" s="36" t="inlineStr">
        <is>
          <t>No existing account for the test email. On the pinned production frontend.</t>
        </is>
      </c>
      <c r="G3" s="36" t="inlineStr">
        <is>
          <t>1) Open the signup page. 2) Enter a fresh valid email, strong password, name, grade. 3) Submit. 4) In Supabase, query auth.users for the email and students for the matching profile.</t>
        </is>
      </c>
      <c r="H3" s="36" t="inlineStr">
        <is>
          <t>Account created; auth.users row AND students row both exist and reference the same id; user is routed into onboarding, not left on a blank screen.</t>
        </is>
      </c>
      <c r="I3" s="36" t="inlineStr">
        <is>
          <t>Screenshot of post-signup screen + SQL result showing both rows</t>
        </is>
      </c>
      <c r="J3" s="41" t="inlineStr">
        <is>
          <t>NOT RUN</t>
        </is>
      </c>
      <c r="K3" s="36" t="inlineStr">
        <is>
          <t>Claude</t>
        </is>
      </c>
      <c r="L3" s="36" t="n"/>
      <c r="M3" s="36" t="n"/>
      <c r="N3" s="36" t="inlineStr">
        <is>
          <t>[T2 | Phase 2 | Claude] repo's own vitest/Playwright suite, run headless</t>
        </is>
      </c>
    </row>
    <row r="4" ht="32.8" customHeight="1" s="29">
      <c r="A4" s="37" t="inlineStr">
        <is>
          <t>AUTH-0002</t>
        </is>
      </c>
      <c r="B4" s="53" t="inlineStr">
        <is>
          <t>P0</t>
        </is>
      </c>
      <c r="C4" s="37" t="inlineStr">
        <is>
          <t>Backend</t>
        </is>
      </c>
      <c r="D4" s="37" t="inlineStr">
        <is>
          <t>Signup provisions profile atomically (no orphan)</t>
        </is>
      </c>
      <c r="E4" s="37" t="inlineStr">
        <is>
          <t>The identity function must create the profile as part of signup. A crash between auth-create and profile-create leaves an orphan auth user. This is a data-integrity guarantee, not a UI nicety.</t>
        </is>
      </c>
      <c r="F4" s="37" t="inlineStr">
        <is>
          <t>Ability to inspect DB after signup.</t>
        </is>
      </c>
      <c r="G4" s="37" t="inlineStr">
        <is>
          <t>1) Complete 3 fresh signups. 2) For each, confirm a students row exists. 3) Query for auth.users rows with NO matching students row created today.</t>
        </is>
      </c>
      <c r="H4" s="37" t="inlineStr">
        <is>
          <t>Zero orphan auth users; every new auth user has a profile.</t>
        </is>
      </c>
      <c r="I4" s="37" t="inlineStr">
        <is>
          <t>SQL result: count of orphan auth users = 0</t>
        </is>
      </c>
      <c r="J4" s="43" t="inlineStr">
        <is>
          <t>NOT RUN</t>
        </is>
      </c>
      <c r="K4" s="37" t="inlineStr">
        <is>
          <t>Claude</t>
        </is>
      </c>
      <c r="L4" s="37" t="n"/>
      <c r="M4" s="37" t="n"/>
      <c r="N4" s="37" t="inlineStr">
        <is>
          <t>[T2 | Phase 2 | Claude] repo's own vitest/Playwright suite, run headless</t>
        </is>
      </c>
    </row>
    <row r="5" ht="32.8" customHeight="1" s="29">
      <c r="A5" s="36" t="inlineStr">
        <is>
          <t>AUTH-0003</t>
        </is>
      </c>
      <c r="B5" s="54" t="inlineStr">
        <is>
          <t>P1</t>
        </is>
      </c>
      <c r="C5" s="36" t="inlineStr">
        <is>
          <t>Frontend</t>
        </is>
      </c>
      <c r="D5" s="36" t="inlineStr">
        <is>
          <t>Signup input validation</t>
        </is>
      </c>
      <c r="E5" s="36" t="inlineStr">
        <is>
          <t>Weak/invalid inputs must be rejected at the boundary with clear messages, not accepted or crashed. Poor validation here creates unusable accounts and support load.</t>
        </is>
      </c>
      <c r="F5" s="36" t="inlineStr">
        <is>
          <t>Signup page open.</t>
        </is>
      </c>
      <c r="G5" s="36" t="inlineStr">
        <is>
          <t>1) Try invalid email formats (a@, a@b, spaces). 2) Try a weak password (e.g. '123'). 3) Try empty required fields. 4) Try an already-registered email.</t>
        </is>
      </c>
      <c r="H5" s="36" t="inlineStr">
        <is>
          <t>Each invalid case is rejected inline with a specific, human-readable message; the already-used email says so; no request succeeds with bad data.</t>
        </is>
      </c>
      <c r="I5" s="36" t="inlineStr">
        <is>
          <t>Screenshots of each rejection message</t>
        </is>
      </c>
      <c r="J5" s="41" t="inlineStr">
        <is>
          <t>NOT RUN</t>
        </is>
      </c>
      <c r="K5" s="36" t="inlineStr">
        <is>
          <t>Claude</t>
        </is>
      </c>
      <c r="L5" s="36" t="n"/>
      <c r="M5" s="36" t="n"/>
      <c r="N5" s="36" t="inlineStr">
        <is>
          <t>[T2 | Phase 2 | Claude] repo's own vitest/Playwright suite, run headless</t>
        </is>
      </c>
    </row>
    <row r="6" ht="22.35" customHeight="1" s="29">
      <c r="A6" s="37" t="inlineStr">
        <is>
          <t>AUTH-0004</t>
        </is>
      </c>
      <c r="B6" s="54" t="inlineStr">
        <is>
          <t>P1</t>
        </is>
      </c>
      <c r="C6" s="37" t="inlineStr">
        <is>
          <t>Backend</t>
        </is>
      </c>
      <c r="D6" s="37" t="inlineStr">
        <is>
          <t>Duplicate signup prevention</t>
        </is>
      </c>
      <c r="E6" s="37" t="inlineStr">
        <is>
          <t>Two accounts on one email breaks login, billing and consent. The system must reject the second attempt cleanly.</t>
        </is>
      </c>
      <c r="F6" s="37" t="inlineStr">
        <is>
          <t>One account already exists for the email.</t>
        </is>
      </c>
      <c r="G6" s="37" t="inlineStr">
        <is>
          <t>1) Attempt to sign up again with the same email. 2) Check no second auth.users or students row was created.</t>
        </is>
      </c>
      <c r="H6" s="37" t="inlineStr">
        <is>
          <t>Second signup rejected; exactly one auth row and one profile row for that email.</t>
        </is>
      </c>
      <c r="I6" s="37" t="inlineStr">
        <is>
          <t>SQL result showing single row per table</t>
        </is>
      </c>
      <c r="J6" s="43" t="inlineStr">
        <is>
          <t>NOT RUN</t>
        </is>
      </c>
      <c r="K6" s="37" t="inlineStr">
        <is>
          <t>Claude</t>
        </is>
      </c>
      <c r="L6" s="37" t="n"/>
      <c r="M6" s="37" t="n"/>
      <c r="N6" s="37" t="inlineStr">
        <is>
          <t>[T2 | Phase 2 | Claude] repo's own vitest/Playwright suite, run headless</t>
        </is>
      </c>
    </row>
    <row r="7" ht="22.35" customHeight="1" s="29">
      <c r="A7" s="36" t="inlineStr">
        <is>
          <t>AUTH-0005</t>
        </is>
      </c>
      <c r="B7" s="53" t="inlineStr">
        <is>
          <t>P0</t>
        </is>
      </c>
      <c r="C7" s="36" t="inlineStr">
        <is>
          <t>Backend</t>
        </is>
      </c>
      <c r="D7" s="36" t="inlineStr">
        <is>
          <t>Login with correct credentials</t>
        </is>
      </c>
      <c r="E7" s="36" t="inlineStr">
        <is>
          <t>Core access path. Must issue a valid session and route to the correct role dashboard.</t>
        </is>
      </c>
      <c r="F7" s="36" t="inlineStr">
        <is>
          <t>A verified account exists.</t>
        </is>
      </c>
      <c r="G7" s="36" t="inlineStr">
        <is>
          <t>1) Log in with correct email+password for each role. 2) Confirm redirect to the correct role dashboard. 3) Confirm a user_active_sessions row is created.</t>
        </is>
      </c>
      <c r="H7" s="36" t="inlineStr">
        <is>
          <t>Login succeeds; correct role dashboard loads; session row present.</t>
        </is>
      </c>
      <c r="I7" s="36" t="inlineStr">
        <is>
          <t>Screenshot per role + SQL session row</t>
        </is>
      </c>
      <c r="J7" s="41" t="inlineStr">
        <is>
          <t>NOT RUN</t>
        </is>
      </c>
      <c r="K7" s="36" t="inlineStr">
        <is>
          <t>Claude</t>
        </is>
      </c>
      <c r="L7" s="36" t="n"/>
      <c r="M7" s="36" t="n"/>
      <c r="N7" s="36" t="inlineStr">
        <is>
          <t>[T2 | Phase 2 | Claude] repo's own vitest/Playwright suite, run headless</t>
        </is>
      </c>
    </row>
    <row r="8" ht="32.8" customHeight="1" s="29">
      <c r="A8" s="37" t="inlineStr">
        <is>
          <t>AUTH-0006</t>
        </is>
      </c>
      <c r="B8" s="54" t="inlineStr">
        <is>
          <t>P1</t>
        </is>
      </c>
      <c r="C8" s="37" t="inlineStr">
        <is>
          <t>Backend</t>
        </is>
      </c>
      <c r="D8" s="37" t="inlineStr">
        <is>
          <t>Login rejects wrong credentials</t>
        </is>
      </c>
      <c r="E8" s="37" t="inlineStr">
        <is>
          <t>Prevents unauthorized access; the error must not reveal whether the email exists (enumeration).</t>
        </is>
      </c>
      <c r="F8" s="37" t="inlineStr">
        <is>
          <t>A known account exists.</t>
        </is>
      </c>
      <c r="G8" s="37" t="inlineStr">
        <is>
          <t>1) Correct email, wrong password. 2) Unknown email, any password. 3) Compare error messages.</t>
        </is>
      </c>
      <c r="H8" s="37" t="inlineStr">
        <is>
          <t>Both rejected; error message is generic and identical (no 'user not found' vs 'wrong password' leak); no session created.</t>
        </is>
      </c>
      <c r="I8" s="37" t="inlineStr">
        <is>
          <t>Screenshots of both errors</t>
        </is>
      </c>
      <c r="J8" s="43" t="inlineStr">
        <is>
          <t>NOT RUN</t>
        </is>
      </c>
      <c r="K8" s="37" t="inlineStr">
        <is>
          <t>Claude</t>
        </is>
      </c>
      <c r="L8" s="37" t="n"/>
      <c r="M8" s="37" t="n"/>
      <c r="N8" s="37" t="inlineStr">
        <is>
          <t>[T2 | Phase 2 | Claude] repo's own vitest/Playwright suite, run headless</t>
        </is>
      </c>
    </row>
    <row r="9" ht="22.35" customHeight="1" s="29">
      <c r="A9" s="36" t="inlineStr">
        <is>
          <t>AUTH-0007</t>
        </is>
      </c>
      <c r="B9" s="54" t="inlineStr">
        <is>
          <t>P1</t>
        </is>
      </c>
      <c r="C9" s="36" t="inlineStr">
        <is>
          <t>Backend</t>
        </is>
      </c>
      <c r="D9" s="36" t="inlineStr">
        <is>
          <t>Session expiry &amp; token invalidation</t>
        </is>
      </c>
      <c r="E9" s="36" t="inlineStr">
        <is>
          <t>An expired or revoked token must stop working. If stale tokens keep access, logout and security controls are meaningless.</t>
        </is>
      </c>
      <c r="F9" s="36" t="inlineStr">
        <is>
          <t>A logged-in session and the ability to expire/revoke it.</t>
        </is>
      </c>
      <c r="G9" s="36" t="inlineStr">
        <is>
          <t>1) Log in. 2) Force token expiry (wait past TTL or revoke). 3) Call a protected route with the old token.</t>
        </is>
      </c>
      <c r="H9" s="36" t="inlineStr">
        <is>
          <t>Protected route rejects the expired/revoked token with an auth error; user is redirected to login.</t>
        </is>
      </c>
      <c r="I9" s="36" t="inlineStr">
        <is>
          <t>API response 401/redirect capture</t>
        </is>
      </c>
      <c r="J9" s="41" t="inlineStr">
        <is>
          <t>NOT RUN</t>
        </is>
      </c>
      <c r="K9" s="36" t="inlineStr">
        <is>
          <t>Claude</t>
        </is>
      </c>
      <c r="L9" s="36" t="n"/>
      <c r="M9" s="36" t="n"/>
      <c r="N9" s="36" t="inlineStr">
        <is>
          <t>[T2 | Phase 2 | Claude] repo's own vitest/Playwright suite, run headless</t>
        </is>
      </c>
    </row>
    <row r="10" ht="22.35" customHeight="1" s="29">
      <c r="A10" s="37" t="inlineStr">
        <is>
          <t>AUTH-0008</t>
        </is>
      </c>
      <c r="B10" s="54" t="inlineStr">
        <is>
          <t>P1</t>
        </is>
      </c>
      <c r="C10" s="37" t="inlineStr">
        <is>
          <t>Backend</t>
        </is>
      </c>
      <c r="D10" s="37" t="inlineStr">
        <is>
          <t>Logout terminates the session</t>
        </is>
      </c>
      <c r="E10" s="37" t="inlineStr">
        <is>
          <t>Logout must actually end the session server-side, not just clear the browser. Otherwise a shared/public device leaks access.</t>
        </is>
      </c>
      <c r="F10" s="37" t="inlineStr">
        <is>
          <t>Logged-in session.</t>
        </is>
      </c>
      <c r="G10" s="37" t="inlineStr">
        <is>
          <t>1) Log out. 2) Attempt to reuse the previous session token / hit a protected route. 3) Check user_active_sessions.</t>
        </is>
      </c>
      <c r="H10" s="37" t="inlineStr">
        <is>
          <t>Old token no longer authorizes; session marked ended/removed.</t>
        </is>
      </c>
      <c r="I10" s="37" t="inlineStr">
        <is>
          <t>SQL session state + rejected request</t>
        </is>
      </c>
      <c r="J10" s="43" t="inlineStr">
        <is>
          <t>NOT RUN</t>
        </is>
      </c>
      <c r="K10" s="37" t="inlineStr">
        <is>
          <t>Claude</t>
        </is>
      </c>
      <c r="L10" s="37" t="n"/>
      <c r="M10" s="37" t="n"/>
      <c r="N10" s="37" t="inlineStr">
        <is>
          <t>[T2 | Phase 2 | Claude] repo's own vitest/Playwright suite, run headless</t>
        </is>
      </c>
    </row>
    <row r="11" ht="22.35" customHeight="1" s="29">
      <c r="A11" s="36" t="inlineStr">
        <is>
          <t>AUTH-0009</t>
        </is>
      </c>
      <c r="B11" s="54" t="inlineStr">
        <is>
          <t>P1</t>
        </is>
      </c>
      <c r="C11" s="36" t="inlineStr">
        <is>
          <t>Frontend+Backend</t>
        </is>
      </c>
      <c r="D11" s="36" t="inlineStr">
        <is>
          <t>Password reset flow</t>
        </is>
      </c>
      <c r="E11" s="36" t="inlineStr">
        <is>
          <t>A broken reset locks users out permanently and floods support. Reset links must be single-use and expiring.</t>
        </is>
      </c>
      <c r="F11" s="36" t="inlineStr">
        <is>
          <t>An account with a reachable test inbox.</t>
        </is>
      </c>
      <c r="G11" s="36" t="inlineStr">
        <is>
          <t>1) Request reset. 2) Use the emailed link to set a new password. 3) Log in with the new password. 4) Try the SAME link again.</t>
        </is>
      </c>
      <c r="H11" s="36" t="inlineStr">
        <is>
          <t>New password works; old password fails; the reset link is single-use and cannot be replayed.</t>
        </is>
      </c>
      <c r="I11" s="36" t="inlineStr">
        <is>
          <t>Email screenshot + login evidence</t>
        </is>
      </c>
      <c r="J11" s="41" t="inlineStr">
        <is>
          <t>NOT RUN</t>
        </is>
      </c>
      <c r="K11" s="36" t="inlineStr">
        <is>
          <t>Human</t>
        </is>
      </c>
      <c r="L11" s="36" t="n"/>
      <c r="M11" s="36" t="n"/>
      <c r="N11" s="36" t="inlineStr">
        <is>
          <t>[T5 | Phase 5 | Human] human-executed (real money/device/inbox). awaiting human executor (LIVE keys / physical device / real inbox)</t>
        </is>
      </c>
    </row>
    <row r="12" ht="32.8" customHeight="1" s="29">
      <c r="A12" s="37" t="inlineStr">
        <is>
          <t>AUTH-0010</t>
        </is>
      </c>
      <c r="B12" s="55" t="inlineStr">
        <is>
          <t>P2</t>
        </is>
      </c>
      <c r="C12" s="37" t="inlineStr">
        <is>
          <t>Frontend</t>
        </is>
      </c>
      <c r="D12" s="37" t="inlineStr">
        <is>
          <t>Onboarding cannot be bypassed</t>
        </is>
      </c>
      <c r="E12" s="37" t="inlineStr">
        <is>
          <t>If onboarding (esp. consent) can be skipped by navigating directly to /dashboard, minors go live without consent — a legal gap.</t>
        </is>
      </c>
      <c r="F12" s="37" t="inlineStr">
        <is>
          <t>A freshly signed-up account still in onboarding.</t>
        </is>
      </c>
      <c r="G12" s="37" t="inlineStr">
        <is>
          <t>1) Mid-onboarding, manually navigate to the dashboard URL. 2) Observe.</t>
        </is>
      </c>
      <c r="H12" s="37" t="inlineStr">
        <is>
          <t>User is returned to the incomplete onboarding step; cannot reach the full dashboard until onboarding (incl. consent) completes.</t>
        </is>
      </c>
      <c r="I12" s="37" t="inlineStr">
        <is>
          <t>Screenshot of redirect back to onboarding</t>
        </is>
      </c>
      <c r="J12" s="43" t="inlineStr">
        <is>
          <t>NOT RUN</t>
        </is>
      </c>
      <c r="K12" s="37" t="inlineStr">
        <is>
          <t>Claude</t>
        </is>
      </c>
      <c r="L12" s="37" t="n"/>
      <c r="M12" s="37" t="n"/>
      <c r="N12" s="37" t="inlineStr">
        <is>
          <t>[T2 | Phase 2 | Claude] repo's own vitest/Playwright suite, run headless</t>
        </is>
      </c>
    </row>
  </sheetData>
  <autoFilter ref="A2:N12"/>
  <mergeCells count="1">
    <mergeCell ref="A1:N1"/>
  </mergeCells>
  <conditionalFormatting sqref="J3:J12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12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02 · Student Core — Quiz Loop &amp; Mastery (BKT)   —   11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43.25" customHeight="1" s="29">
      <c r="A3" s="36" t="inlineStr">
        <is>
          <t>QUIZ-0001</t>
        </is>
      </c>
      <c r="B3" s="53" t="inlineStr">
        <is>
          <t>P0</t>
        </is>
      </c>
      <c r="C3" s="36" t="inlineStr">
        <is>
          <t>Backend</t>
        </is>
      </c>
      <c r="D3" s="36" t="inlineStr">
        <is>
          <t>Server owns the answer key</t>
        </is>
      </c>
      <c r="E3" s="36" t="inlineStr">
        <is>
          <t>If the browser knows or can influence correctness, students cheat and mastery data is worthless. Correctness must be re-derived on the server from a key the client never sees.</t>
        </is>
      </c>
      <c r="F3" s="36" t="inlineStr">
        <is>
          <t>Ability to inspect the quiz start request/response and the submit payload.</t>
        </is>
      </c>
      <c r="G3" s="36" t="inlineStr">
        <is>
          <t>1) Start a quiz; inspect the network response — confirm it does NOT contain which option is correct. 2) On submit, confirm the payload sends only the chosen option index, not a correctness flag. 3) Confirm quiz_session_shuffles holds the server-side key.</t>
        </is>
      </c>
      <c r="H3" s="36" t="inlineStr">
        <is>
          <t>Correct answers are never sent to the client; submit carries no client-decided correctness; server re-derives from quiz_session_shuffles.</t>
        </is>
      </c>
      <c r="I3" s="36" t="inlineStr">
        <is>
          <t>Network capture of start + submit payloads</t>
        </is>
      </c>
      <c r="J3" s="41" t="inlineStr">
        <is>
          <t>PASS</t>
        </is>
      </c>
      <c r="K3" s="36" t="inlineStr">
        <is>
          <t>Claude (T2 auto)</t>
        </is>
      </c>
      <c r="L3" s="36" t="inlineStr">
        <is>
          <t>2026-08-04</t>
        </is>
      </c>
      <c r="M3" s="36" t="n"/>
      <c r="N3" s="36" t="inlineStr">
        <is>
          <t>PASS via repo suite: api/quiz-server-shuffle-authority.test.ts (server never sends correct key; submit carries only chosen index). Evidence: evidence/T2_certified_rows_testlog.txt.</t>
        </is>
      </c>
    </row>
    <row r="4" ht="32.8" customHeight="1" s="29">
      <c r="A4" s="37" t="inlineStr">
        <is>
          <t>QUIZ-0002</t>
        </is>
      </c>
      <c r="B4" s="53" t="inlineStr">
        <is>
          <t>P0</t>
        </is>
      </c>
      <c r="C4" s="37" t="inlineStr">
        <is>
          <t>Backend</t>
        </is>
      </c>
      <c r="D4" s="37" t="inlineStr">
        <is>
          <t>Correctness cannot be tampered</t>
        </is>
      </c>
      <c r="E4" s="37" t="inlineStr">
        <is>
          <t>Directly proves the anti-cheat guarantee by attacking it.</t>
        </is>
      </c>
      <c r="F4" s="37" t="inlineStr">
        <is>
          <t>A logged-in student session and an intercepting proxy.</t>
        </is>
      </c>
      <c r="G4" s="37" t="inlineStr">
        <is>
          <t>1) Answer a question WRONG. 2) Intercept the submit and flip/add a 'correct:true' field or change the chosen index to the right one after the fact. 3) Submit.</t>
        </is>
      </c>
      <c r="H4" s="37" t="inlineStr">
        <is>
          <t>Server grades by its own key; a forged correctness flag is ignored; mastery reflects the real (wrong) answer.</t>
        </is>
      </c>
      <c r="I4" s="37" t="inlineStr">
        <is>
          <t>Proxy capture + resulting concept_attempts row</t>
        </is>
      </c>
      <c r="J4" s="43" t="inlineStr">
        <is>
          <t>PASS</t>
        </is>
      </c>
      <c r="K4" s="37" t="inlineStr">
        <is>
          <t>Claude (T2 auto)</t>
        </is>
      </c>
      <c r="L4" s="37" t="inlineStr">
        <is>
          <t>2026-08-04</t>
        </is>
      </c>
      <c r="M4" s="37" t="n"/>
      <c r="N4" s="37" t="inlineStr">
        <is>
          <t>PASS via repo suite: anti-cheat-server-parity.test.ts + quiz-server-shuffle-authority.test.ts (forged correctness flag ignored; server grades by own key). Evidence: evidence/T2_certified_rows_testlog.txt.</t>
        </is>
      </c>
    </row>
    <row r="5" ht="32.8" customHeight="1" s="29">
      <c r="A5" s="36" t="inlineStr">
        <is>
          <t>QUIZ-0003</t>
        </is>
      </c>
      <c r="B5" s="53" t="inlineStr">
        <is>
          <t>P0</t>
        </is>
      </c>
      <c r="C5" s="36" t="inlineStr">
        <is>
          <t>Backend+DB</t>
        </is>
      </c>
      <c r="D5" s="36" t="inlineStr">
        <is>
          <t>Mastery updates and is visible on the dashboard</t>
        </is>
      </c>
      <c r="E5" s="36" t="inlineStr">
        <is>
          <t>The whole value proposition is that mastery reflects real performance. If the dashboard doesn't move, the product is dead on arrival.</t>
        </is>
      </c>
      <c r="F5" s="36" t="inlineStr">
        <is>
          <t>A student account with known starting mastery on a concept.</t>
        </is>
      </c>
      <c r="G5" s="36" t="inlineStr">
        <is>
          <t>1) Note current mastery for a concept. 2) Answer several questions on that concept correctly. 3) Refresh the dashboard. 4) Compare the dashboard value to the latest posterior_mastery_mean in concept_attempts.</t>
        </is>
      </c>
      <c r="H5" s="36" t="inlineStr">
        <is>
          <t>Dashboard mastery increases; the displayed value equals the latest posterior in the attempt chain (within projector lag).</t>
        </is>
      </c>
      <c r="I5" s="36" t="inlineStr">
        <is>
          <t>Before/after dashboard screenshots + SQL of the attempt chain</t>
        </is>
      </c>
      <c r="J5" s="41" t="inlineStr">
        <is>
          <t>NOT RUN</t>
        </is>
      </c>
      <c r="K5" s="36" t="inlineStr">
        <is>
          <t>Claude</t>
        </is>
      </c>
      <c r="L5" s="36" t="n"/>
      <c r="M5" s="36" t="n"/>
      <c r="N5" s="36" t="inlineStr">
        <is>
          <t>[T2 | Phase 2 | Claude] repo's own vitest/Playwright suite, run headless</t>
        </is>
      </c>
    </row>
    <row r="6" ht="32.8" customHeight="1" s="29">
      <c r="A6" s="37" t="inlineStr">
        <is>
          <t>QUIZ-0004</t>
        </is>
      </c>
      <c r="B6" s="53" t="inlineStr">
        <is>
          <t>P0</t>
        </is>
      </c>
      <c r="C6" s="37" t="inlineStr">
        <is>
          <t>Backend</t>
        </is>
      </c>
      <c r="D6" s="37" t="inlineStr">
        <is>
          <t>Idempotent submission (replay is a no-op)</t>
        </is>
      </c>
      <c r="E6" s="37" t="inlineStr">
        <is>
          <t>Networks retry. If a replayed submission counts twice, mastery and gamification inflate. Idempotency is enforced by the attempt_id key.</t>
        </is>
      </c>
      <c r="F6" s="37" t="inlineStr">
        <is>
          <t>A completed quiz submission captured.</t>
        </is>
      </c>
      <c r="G6" s="37" t="inlineStr">
        <is>
          <t>1) Submit a quiz normally; record concept_mastery and XP. 2) Replay the exact same submission (same attempt_id). 3) Re-check concept_mastery and XP.</t>
        </is>
      </c>
      <c r="H6" s="37" t="inlineStr">
        <is>
          <t>Second submission changes nothing — mastery and XP identical to after the first.</t>
        </is>
      </c>
      <c r="I6" s="37" t="inlineStr">
        <is>
          <t>SQL before/after showing no change on replay</t>
        </is>
      </c>
      <c r="J6" s="43" t="inlineStr">
        <is>
          <t>NOT RUN</t>
        </is>
      </c>
      <c r="K6" s="37" t="inlineStr">
        <is>
          <t>Claude</t>
        </is>
      </c>
      <c r="L6" s="37" t="n"/>
      <c r="M6" s="37" t="n"/>
      <c r="N6" s="37" t="inlineStr">
        <is>
          <t>[T2 | Phase 2 | Claude] repo's own vitest/Playwright suite, run headless</t>
        </is>
      </c>
    </row>
    <row r="7" ht="43.25" customHeight="1" s="29">
      <c r="A7" s="36" t="inlineStr">
        <is>
          <t>QUIZ-0005</t>
        </is>
      </c>
      <c r="B7" s="53" t="inlineStr">
        <is>
          <t>P0</t>
        </is>
      </c>
      <c r="C7" s="36" t="inlineStr">
        <is>
          <t>Backend+DB</t>
        </is>
      </c>
      <c r="D7" s="36" t="inlineStr">
        <is>
          <t>Mastery regression on wrong answers</t>
        </is>
      </c>
      <c r="E7" s="36" t="inlineStr">
        <is>
          <t>Khan-style regression: a proficient student who later misses questions should drop a level. This enforces retention and schedules spaced review. If mastery only ever goes up, it's meaningless.</t>
        </is>
      </c>
      <c r="F7" s="36" t="inlineStr">
        <is>
          <t>A student at high mastery on a concept.</t>
        </is>
      </c>
      <c r="G7" s="36" t="inlineStr">
        <is>
          <t>1) Confirm high mastery on a concept. 2) Deliberately answer several questions on it wrong. 3) Observe mastery.</t>
        </is>
      </c>
      <c r="H7" s="36" t="inlineStr">
        <is>
          <t>Mastery decreases; the concept becomes eligible for review; the drop is reflected in both concept_attempts posterior and the dashboard.</t>
        </is>
      </c>
      <c r="I7" s="36" t="inlineStr">
        <is>
          <t>SQL + dashboard before/after</t>
        </is>
      </c>
      <c r="J7" s="41" t="inlineStr">
        <is>
          <t>NOT RUN</t>
        </is>
      </c>
      <c r="K7" s="36" t="inlineStr">
        <is>
          <t>Claude</t>
        </is>
      </c>
      <c r="L7" s="36" t="n"/>
      <c r="M7" s="36" t="n"/>
      <c r="N7" s="36" t="inlineStr">
        <is>
          <t>[T2 | Phase 2 | Claude] repo's own vitest/Playwright suite, run headless</t>
        </is>
      </c>
    </row>
    <row r="8" ht="43.25" customHeight="1" s="29">
      <c r="A8" s="37" t="inlineStr">
        <is>
          <t>QUIZ-0006</t>
        </is>
      </c>
      <c r="B8" s="54" t="inlineStr">
        <is>
          <t>P1</t>
        </is>
      </c>
      <c r="C8" s="37" t="inlineStr">
        <is>
          <t>DB</t>
        </is>
      </c>
      <c r="D8" s="37" t="inlineStr">
        <is>
          <t>BKT nightly invariant check</t>
        </is>
      </c>
      <c r="E8" s="37" t="inlineStr">
        <is>
          <t>Guards against the historical wrong-column BKT bug (~10% mastery for everyone). The read model must equal the latest attempt posterior.</t>
        </is>
      </c>
      <c r="F8" s="37" t="inlineStr">
        <is>
          <t>The invariant cron job installed.</t>
        </is>
      </c>
      <c r="G8" s="37" t="inlineStr">
        <is>
          <t>1) Run the invariant query: for each student/concept, concept_mastery.mastery_mean must equal the latest posterior_mastery_mean in concept_attempts. 2) Confirm mismatches log to ops_events.</t>
        </is>
      </c>
      <c r="H8" s="37" t="inlineStr">
        <is>
          <t>Zero mismatches; job writes to ops_events on any mismatch and is scheduled.</t>
        </is>
      </c>
      <c r="I8" s="37" t="inlineStr">
        <is>
          <t>SQL result (0 mismatches) + cron schedule proof</t>
        </is>
      </c>
      <c r="J8" s="43" t="inlineStr">
        <is>
          <t>NOT RUN</t>
        </is>
      </c>
      <c r="K8" s="37" t="inlineStr">
        <is>
          <t>Claude (pending env)</t>
        </is>
      </c>
      <c r="L8" s="37" t="n"/>
      <c r="M8" s="37" t="n"/>
      <c r="N8" s="37" t="inlineStr">
        <is>
          <t>[T3 | Phase 3 | Claude (pending env)] parametrized SQL probe via live/staging Supabase. awaiting live/staging Supabase read access + A/B test accounts</t>
        </is>
      </c>
    </row>
    <row r="9" ht="22.35" customHeight="1" s="29">
      <c r="A9" s="36" t="inlineStr">
        <is>
          <t>QUIZ-0007</t>
        </is>
      </c>
      <c r="B9" s="54" t="inlineStr">
        <is>
          <t>P1</t>
        </is>
      </c>
      <c r="C9" s="36" t="inlineStr">
        <is>
          <t>Backend</t>
        </is>
      </c>
      <c r="D9" s="36" t="inlineStr">
        <is>
          <t>Only verified questions in mastery-impacting flows</t>
        </is>
      </c>
      <c r="E9" s="36" t="inlineStr">
        <is>
          <t>An unverified (possibly wrong) question that affects mastery poisons the core data. The content-poisoning guard must hold.</t>
        </is>
      </c>
      <c r="F9" s="36" t="inlineStr">
        <is>
          <t>A quiz/mock that impacts mastery.</t>
        </is>
      </c>
      <c r="G9" s="36" t="inlineStr">
        <is>
          <t>1) Run several mastery-impacting quizzes/mocks. 2) Collect the served question_ids. 3) Query question_bank.verification_state for each.</t>
        </is>
      </c>
      <c r="H9" s="36" t="inlineStr">
        <is>
          <t>Every served item is verification_state='verified'; zero unverified items in any mastery-impacting path.</t>
        </is>
      </c>
      <c r="I9" s="36" t="inlineStr">
        <is>
          <t>SQL join of served ids × verification_state</t>
        </is>
      </c>
      <c r="J9" s="41" t="inlineStr">
        <is>
          <t>NOT RUN</t>
        </is>
      </c>
      <c r="K9" s="36" t="inlineStr">
        <is>
          <t>Claude (pending env)</t>
        </is>
      </c>
      <c r="L9" s="36" t="n"/>
      <c r="M9" s="36" t="n"/>
      <c r="N9" s="36" t="inlineStr">
        <is>
          <t>[T3 | Phase 3 | Claude (pending env)] parametrized SQL probe via live/staging Supabase. awaiting live/staging Supabase read access + A/B test accounts</t>
        </is>
      </c>
    </row>
    <row r="10" ht="32.8" customHeight="1" s="29">
      <c r="A10" s="37" t="inlineStr">
        <is>
          <t>QUIZ-0008</t>
        </is>
      </c>
      <c r="B10" s="55" t="inlineStr">
        <is>
          <t>P2</t>
        </is>
      </c>
      <c r="C10" s="37" t="inlineStr">
        <is>
          <t>Backend</t>
        </is>
      </c>
      <c r="D10" s="37" t="inlineStr">
        <is>
          <t>No question repeats within the window</t>
        </is>
      </c>
      <c r="E10" s="37" t="inlineStr">
        <is>
          <t>Repeating the same item back-to-back lets students memorize answers and corrupts the difficulty signal.</t>
        </is>
      </c>
      <c r="F10" s="37" t="inlineStr">
        <is>
          <t>A student doing repeated quizzes on one concept.</t>
        </is>
      </c>
      <c r="G10" s="37" t="inlineStr">
        <is>
          <t>1) Take multiple quizzes on the same concept. 2) Record served question_ids. 3) Check user_question_history for repeats inside the no-repeat window.</t>
        </is>
      </c>
      <c r="H10" s="37" t="inlineStr">
        <is>
          <t>No item repeats within the configured recency window.</t>
        </is>
      </c>
      <c r="I10" s="37" t="inlineStr">
        <is>
          <t>SQL of served ids vs history</t>
        </is>
      </c>
      <c r="J10" s="43" t="inlineStr">
        <is>
          <t>NOT RUN</t>
        </is>
      </c>
      <c r="K10" s="37" t="inlineStr">
        <is>
          <t>Claude</t>
        </is>
      </c>
      <c r="L10" s="37" t="n"/>
      <c r="M10" s="37" t="n"/>
      <c r="N10" s="37" t="inlineStr">
        <is>
          <t>[T2 | Phase 2 | Claude] repo's own vitest/Playwright suite, run headless</t>
        </is>
      </c>
    </row>
    <row r="11" ht="32.8" customHeight="1" s="29">
      <c r="A11" s="36" t="inlineStr">
        <is>
          <t>QUIZ-0009</t>
        </is>
      </c>
      <c r="B11" s="54" t="inlineStr">
        <is>
          <t>P1</t>
        </is>
      </c>
      <c r="C11" s="36" t="inlineStr">
        <is>
          <t>Backend+DB</t>
        </is>
      </c>
      <c r="D11" s="36" t="inlineStr">
        <is>
          <t>Projector recovers after being stopped</t>
        </is>
      </c>
      <c r="E11" s="36" t="inlineStr">
        <is>
          <t>Projectors are async. If one stalls (as happened historically), mastery freezes. The system must catch up when it resumes, in order, without double-counting.</t>
        </is>
      </c>
      <c r="F11" s="36" t="inlineStr">
        <is>
          <t>Ability to pause/resume the projector in staging.</t>
        </is>
      </c>
      <c r="G11" s="36" t="inlineStr">
        <is>
          <t>1) Pause the projector. 2) Complete several quizzes (events queue up). 3) Confirm dashboard mastery is stale. 4) Resume the projector. 5) Re-check.</t>
        </is>
      </c>
      <c r="H11" s="36" t="inlineStr">
        <is>
          <t>On resume, projections catch up to the correct values; subscriber_offsets advance; no event double-applied.</t>
        </is>
      </c>
      <c r="I11" s="36" t="inlineStr">
        <is>
          <t>Offsets before/after + mastery reconciliation</t>
        </is>
      </c>
      <c r="J11" s="41" t="inlineStr">
        <is>
          <t>NOT RUN</t>
        </is>
      </c>
      <c r="K11" s="36" t="inlineStr">
        <is>
          <t>Claude (pending env)</t>
        </is>
      </c>
      <c r="L11" s="36" t="n"/>
      <c r="M11" s="36" t="n"/>
      <c r="N11" s="36" t="inlineStr">
        <is>
          <t>[T3 | Phase 3 | Claude (pending env)] parametrized SQL probe via live/staging Supabase. awaiting live/staging Supabase read access + A/B test accounts</t>
        </is>
      </c>
    </row>
    <row r="12" ht="22.35" customHeight="1" s="29">
      <c r="A12" s="37" t="inlineStr">
        <is>
          <t>QUIZ-0010</t>
        </is>
      </c>
      <c r="B12" s="54" t="inlineStr">
        <is>
          <t>P1</t>
        </is>
      </c>
      <c r="C12" s="37" t="inlineStr">
        <is>
          <t>Frontend</t>
        </is>
      </c>
      <c r="D12" s="37" t="inlineStr">
        <is>
          <t>Quiz latency under normal load</t>
        </is>
      </c>
      <c r="E12" s="37" t="inlineStr">
        <is>
          <t>A blocking spinner on submit kills student flow. The graded response must return quickly.</t>
        </is>
      </c>
      <c r="F12" s="37" t="inlineStr">
        <is>
          <t>A normal student session.</t>
        </is>
      </c>
      <c r="G12" s="37" t="inlineStr">
        <is>
          <t>1) Submit 20 quiz answers, timing each grading response. 2) Record p95.</t>
        </is>
      </c>
      <c r="H12" s="37" t="inlineStr">
        <is>
          <t>p95 grading+mastery-update response is under ~800ms; no indefinite spinners.</t>
        </is>
      </c>
      <c r="I12" s="37" t="inlineStr">
        <is>
          <t>Timing log of 20 submits</t>
        </is>
      </c>
      <c r="J12" s="43" t="inlineStr">
        <is>
          <t>NOT RUN</t>
        </is>
      </c>
      <c r="K12" s="37" t="inlineStr">
        <is>
          <t>Claude</t>
        </is>
      </c>
      <c r="L12" s="37" t="n"/>
      <c r="M12" s="37" t="n"/>
      <c r="N12" s="37" t="inlineStr">
        <is>
          <t>[T2 | Phase 2 | Claude] repo's own vitest/Playwright suite, run headless</t>
        </is>
      </c>
    </row>
    <row r="13" ht="32.8" customHeight="1" s="29">
      <c r="A13" s="36" t="inlineStr">
        <is>
          <t>QUIZ-0011</t>
        </is>
      </c>
      <c r="B13" s="55" t="inlineStr">
        <is>
          <t>P2</t>
        </is>
      </c>
      <c r="C13" s="36" t="inlineStr">
        <is>
          <t>Frontend</t>
        </is>
      </c>
      <c r="D13" s="36" t="inlineStr">
        <is>
          <t>Quiz UI edge cases</t>
        </is>
      </c>
      <c r="E13" s="36" t="inlineStr">
        <is>
          <t>Real students double-tap, lose connection, and background the app. The UI must not double-submit or lose progress.</t>
        </is>
      </c>
      <c r="F13" s="36" t="inlineStr">
        <is>
          <t>A quiz in progress.</t>
        </is>
      </c>
      <c r="G13" s="36" t="inlineStr">
        <is>
          <t>1) Double-tap submit. 2) Drop network mid-quiz then reconnect. 3) Background and reopen the app mid-quiz.</t>
        </is>
      </c>
      <c r="H13" s="36" t="inlineStr">
        <is>
          <t>No double submission; graceful reconnect; progress preserved or a clear recoverable state — never a silent data loss or duplicate attempt.</t>
        </is>
      </c>
      <c r="I13" s="36" t="inlineStr">
        <is>
          <t>Screen recording of each case</t>
        </is>
      </c>
      <c r="J13" s="41" t="inlineStr">
        <is>
          <t>NOT RUN</t>
        </is>
      </c>
      <c r="K13" s="36" t="inlineStr">
        <is>
          <t>Claude</t>
        </is>
      </c>
      <c r="L13" s="36" t="n"/>
      <c r="M13" s="36" t="n"/>
      <c r="N13" s="36" t="inlineStr">
        <is>
          <t>[T2 | Phase 2 | Claude] repo's own vitest/Playwright suite, run headless</t>
        </is>
      </c>
    </row>
  </sheetData>
  <autoFilter ref="A2:N13"/>
  <mergeCells count="1">
    <mergeCell ref="A1:N1"/>
  </mergeCells>
  <conditionalFormatting sqref="J3:J13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13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03 · Foxy AI Tutor (Grounded, NCERT-only)   —   9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32.8" customHeight="1" s="29">
      <c r="A3" s="36" t="inlineStr">
        <is>
          <t>FOXY-0001</t>
        </is>
      </c>
      <c r="B3" s="53" t="inlineStr">
        <is>
          <t>P0</t>
        </is>
      </c>
      <c r="C3" s="36" t="inlineStr">
        <is>
          <t>Backend</t>
        </is>
      </c>
      <c r="D3" s="36" t="inlineStr">
        <is>
          <t>In-syllabus answer is grounded &amp; cited</t>
        </is>
      </c>
      <c r="E3" s="36" t="inlineStr">
        <is>
          <t>Foxy's promise is NCERT-grounded tutoring. An in-syllabus question must be answered from retrieved chunks with citations — proving retrieval actually feeds generation.</t>
        </is>
      </c>
      <c r="F3" s="36" t="inlineStr">
        <is>
          <t>A known in-syllabus topic for a test grade/subject.</t>
        </is>
      </c>
      <c r="G3" s="36" t="inlineStr">
        <is>
          <t>1) Ask Foxy an in-syllabus question. 2) Read the answer and its citations. 3) Confirm grounded_ai_traces and retrieval_traces rows were written for the turn.</t>
        </is>
      </c>
      <c r="H3" s="36" t="inlineStr">
        <is>
          <t>Answer is correct, on-syllabus, and cites NCERT sources; trace rows exist linking the answer to retrieved chunks.</t>
        </is>
      </c>
      <c r="I3" s="36" t="inlineStr">
        <is>
          <t>Chat screenshot + trace SQL</t>
        </is>
      </c>
      <c r="J3" s="41" t="inlineStr">
        <is>
          <t>PASS</t>
        </is>
      </c>
      <c r="K3" s="36" t="inlineStr">
        <is>
          <t>Claude (T2 auto)</t>
        </is>
      </c>
      <c r="L3" s="36" t="inlineStr">
        <is>
          <t>2026-08-04</t>
        </is>
      </c>
      <c r="M3" s="36" t="n"/>
      <c r="N3" s="36" t="inlineStr">
        <is>
          <t>PASS via repo suite: foxy-grounded-gate.test.ts (in-syllabus answer gated on retrieved grounded chunks). Evidence: evidence/T2_certified_rows_testlog.txt.</t>
        </is>
      </c>
    </row>
    <row r="4" ht="32.8" customHeight="1" s="29">
      <c r="A4" s="37" t="inlineStr">
        <is>
          <t>FOXY-0002</t>
        </is>
      </c>
      <c r="B4" s="53" t="inlineStr">
        <is>
          <t>P0</t>
        </is>
      </c>
      <c r="C4" s="37" t="inlineStr">
        <is>
          <t>Backend</t>
        </is>
      </c>
      <c r="D4" s="37" t="inlineStr">
        <is>
          <t>Out-of-syllabus returns CURRICULUM_GAP (no hallucination)</t>
        </is>
      </c>
      <c r="E4" s="37" t="inlineStr">
        <is>
          <t>The single most important trust test. Foxy must refuse to invent curriculum when nothing relevant is retrieved.</t>
        </is>
      </c>
      <c r="F4" s="37" t="inlineStr">
        <is>
          <t>A question clearly outside the indexed syllabus (e.g. a college-level or off-topic prompt).</t>
        </is>
      </c>
      <c r="G4" s="37" t="inlineStr">
        <is>
          <t>1) Ask an out-of-syllabus question. 2) Observe the response. 3) Check content_gaps for the logged gap.</t>
        </is>
      </c>
      <c r="H4" s="37" t="inlineStr">
        <is>
          <t>Response is a structured CURRICULUM_GAP (graceful message), NOT a fabricated answer; the gap is logged to content_gaps.</t>
        </is>
      </c>
      <c r="I4" s="37" t="inlineStr">
        <is>
          <t>Chat screenshot + content_gaps SQL row</t>
        </is>
      </c>
      <c r="J4" s="43" t="inlineStr">
        <is>
          <t>PASS</t>
        </is>
      </c>
      <c r="K4" s="37" t="inlineStr">
        <is>
          <t>Claude (T2 auto)</t>
        </is>
      </c>
      <c r="L4" s="37" t="inlineStr">
        <is>
          <t>2026-08-04</t>
        </is>
      </c>
      <c r="M4" s="37" t="n"/>
      <c r="N4" s="37" t="inlineStr">
        <is>
          <t>PASS via repo suite: api/foxy/structured-abstain-and-history.test.ts + grounded-failure-fallback.test.ts (no-context -&gt; structured abstain, no hallucination). NOTE: realised as grounded-answer abstain/coverage, not a literal CURRICULUM_GAP token. Evidence: evidence/T2_certified_rows_testlog.txt.</t>
        </is>
      </c>
    </row>
    <row r="5" ht="32.8" customHeight="1" s="29">
      <c r="A5" s="36" t="inlineStr">
        <is>
          <t>FOXY-0003</t>
        </is>
      </c>
      <c r="B5" s="53" t="inlineStr">
        <is>
          <t>P0</t>
        </is>
      </c>
      <c r="C5" s="36" t="inlineStr">
        <is>
          <t>Backend</t>
        </is>
      </c>
      <c r="D5" s="36" t="inlineStr">
        <is>
          <t>Chapter taxonomy parity: Foxy == Quiz == UI</t>
        </is>
      </c>
      <c r="E5" s="36" t="inlineStr">
        <is>
          <t>Historical P0: two different fetchers made Foxy and Quiz show different chapters. There must be ONE canonical taxonomy behind every surface.</t>
        </is>
      </c>
      <c r="F5" s="36" t="inlineStr">
        <is>
          <t>Same grade/subject across Foxy, Quiz, and the syllabus UI.</t>
        </is>
      </c>
      <c r="G5" s="36" t="inlineStr">
        <is>
          <t>1) List the chapters Foxy offers for a subject. 2) List the chapters Quiz offers. 3) List the UI syllabus tree. 4) Diff all three.</t>
        </is>
      </c>
      <c r="H5" s="36" t="inlineStr">
        <is>
          <t>All three lists are identical (same source, same order); zero drift.</t>
        </is>
      </c>
      <c r="I5" s="36" t="inlineStr">
        <is>
          <t>Side-by-side chapter lists from all three surfaces</t>
        </is>
      </c>
      <c r="J5" s="41" t="inlineStr">
        <is>
          <t>NOT RUN</t>
        </is>
      </c>
      <c r="K5" s="36" t="inlineStr">
        <is>
          <t>Claude</t>
        </is>
      </c>
      <c r="L5" s="36" t="n"/>
      <c r="M5" s="36" t="n"/>
      <c r="N5" s="36" t="inlineStr">
        <is>
          <t>[T1 | Phase 1 | Claude] static code/config/migration review, file:line evidence</t>
        </is>
      </c>
    </row>
    <row r="6" ht="32.8" customHeight="1" s="29">
      <c r="A6" s="37" t="inlineStr">
        <is>
          <t>FOXY-0004</t>
        </is>
      </c>
      <c r="B6" s="53" t="inlineStr">
        <is>
          <t>P0</t>
        </is>
      </c>
      <c r="C6" s="37" t="inlineStr">
        <is>
          <t>Backend</t>
        </is>
      </c>
      <c r="D6" s="37" t="inlineStr">
        <is>
          <t>Hindi question → Hindi answer or LANGUAGE_GAP</t>
        </is>
      </c>
      <c r="E6" s="37" t="inlineStr">
        <is>
          <t>Hindi is a first-class language and a product moat. A Hindi question must never be silently answered in English.</t>
        </is>
      </c>
      <c r="F6" s="37" t="inlineStr">
        <is>
          <t>A Hindi-indexed topic and a non-indexed one.</t>
        </is>
      </c>
      <c r="G6" s="37" t="inlineStr">
        <is>
          <t>1) Ask a question in Hindi on an indexed topic. 2) Ask one on a topic with no Hindi content. 3) Observe both.</t>
        </is>
      </c>
      <c r="H6" s="37" t="inlineStr">
        <is>
          <t>Indexed → Hindi answer; non-indexed → explicit LANGUAGE_GAP offering English; never a silent English substitution.</t>
        </is>
      </c>
      <c r="I6" s="37" t="inlineStr">
        <is>
          <t>Both chat screenshots</t>
        </is>
      </c>
      <c r="J6" s="43" t="inlineStr">
        <is>
          <t>NOT RUN</t>
        </is>
      </c>
      <c r="K6" s="37" t="inlineStr">
        <is>
          <t>Claude</t>
        </is>
      </c>
      <c r="L6" s="37" t="inlineStr">
        <is>
          <t>2026-08-04</t>
        </is>
      </c>
      <c r="M6" s="37" t="inlineStr">
        <is>
          <t>QA-FIND-001</t>
        </is>
      </c>
      <c r="N6" s="37" t="inlineStr">
        <is>
          <t>FINDING (code gap): explicit Hindi-&gt;LANGUAGE_GAP contract NOT implemented (grep LANGUAGE_GAP = 0 hits; docs-only). Candidate P1. Confirm live whether Hindi is answered in Hindi vs silently English before PASS/FAIL. Evidence: evidence/T1_static_findings.txt.</t>
        </is>
      </c>
    </row>
    <row r="7" ht="22.35" customHeight="1" s="29">
      <c r="A7" s="36" t="inlineStr">
        <is>
          <t>FOXY-0005</t>
        </is>
      </c>
      <c r="B7" s="54" t="inlineStr">
        <is>
          <t>P1</t>
        </is>
      </c>
      <c r="C7" s="36" t="inlineStr">
        <is>
          <t>Frontend</t>
        </is>
      </c>
      <c r="D7" s="36" t="inlineStr">
        <is>
          <t>Streaming &amp; first-token latency</t>
        </is>
      </c>
      <c r="E7" s="36" t="inlineStr">
        <is>
          <t>Foxy streams. A long blank wait feels broken. First token must arrive fast and stream smoothly.</t>
        </is>
      </c>
      <c r="F7" s="36" t="inlineStr">
        <is>
          <t>A normal Foxy session.</t>
        </is>
      </c>
      <c r="G7" s="36" t="inlineStr">
        <is>
          <t>1) Ask several questions, timing to first visible token. 2) Watch streaming render.</t>
        </is>
      </c>
      <c r="H7" s="36" t="inlineStr">
        <is>
          <t>p95 first token under ~2.5s; smooth streaming; no frozen 'thinking' with no output.</t>
        </is>
      </c>
      <c r="I7" s="36" t="inlineStr">
        <is>
          <t>Timing log + screen recording</t>
        </is>
      </c>
      <c r="J7" s="41" t="inlineStr">
        <is>
          <t>NOT RUN</t>
        </is>
      </c>
      <c r="K7" s="36" t="inlineStr">
        <is>
          <t>Claude</t>
        </is>
      </c>
      <c r="L7" s="36" t="n"/>
      <c r="M7" s="36" t="n"/>
      <c r="N7" s="36" t="inlineStr">
        <is>
          <t>[T2 | Phase 2 | Claude] repo's own vitest/Playwright suite, run headless</t>
        </is>
      </c>
    </row>
    <row r="8" ht="32.8" customHeight="1" s="29">
      <c r="A8" s="37" t="inlineStr">
        <is>
          <t>FOXY-0006</t>
        </is>
      </c>
      <c r="B8" s="53" t="inlineStr">
        <is>
          <t>P0</t>
        </is>
      </c>
      <c r="C8" s="37" t="inlineStr">
        <is>
          <t>Backend</t>
        </is>
      </c>
      <c r="D8" s="37" t="inlineStr">
        <is>
          <t>'Quiz me' feeds the SAME mastery chain</t>
        </is>
      </c>
      <c r="E8" s="37" t="inlineStr">
        <is>
          <t>In-chat practice must update the one BKT model — not a parallel one. Split-brain mastery would make the dashboard lie.</t>
        </is>
      </c>
      <c r="F8" s="37" t="inlineStr">
        <is>
          <t>A student and a concept with known mastery.</t>
        </is>
      </c>
      <c r="G8" s="37" t="inlineStr">
        <is>
          <t>1) Use Foxy 'Quiz me' on a concept, answering a few. 2) Compare the mastery change to what a normal quiz produces. 3) Confirm attempts land in concept_attempts via tutor_commit_attempt.</t>
        </is>
      </c>
      <c r="H8" s="37" t="inlineStr">
        <is>
          <t>'Quiz me' answers update the same concept_mastery through the same RPC/event path as regular quizzes; one mastery number, not two.</t>
        </is>
      </c>
      <c r="I8" s="37" t="inlineStr">
        <is>
          <t>SQL of attempts from both sources + dashboard</t>
        </is>
      </c>
      <c r="J8" s="43" t="inlineStr">
        <is>
          <t>NOT RUN</t>
        </is>
      </c>
      <c r="K8" s="37" t="inlineStr">
        <is>
          <t>Claude</t>
        </is>
      </c>
      <c r="L8" s="37" t="n"/>
      <c r="M8" s="37" t="n"/>
      <c r="N8" s="37" t="inlineStr">
        <is>
          <t>[T2 | Phase 2 | Claude] repo's own vitest/Playwright suite, run headless</t>
        </is>
      </c>
    </row>
    <row r="9" ht="32.8" customHeight="1" s="29">
      <c r="A9" s="36" t="inlineStr">
        <is>
          <t>FOXY-0007</t>
        </is>
      </c>
      <c r="B9" s="54" t="inlineStr">
        <is>
          <t>P1</t>
        </is>
      </c>
      <c r="C9" s="36" t="inlineStr">
        <is>
          <t>Backend</t>
        </is>
      </c>
      <c r="D9" s="36" t="inlineStr">
        <is>
          <t>Foxy retry/backoff on AI errors</t>
        </is>
      </c>
      <c r="E9" s="36" t="inlineStr">
        <is>
          <t>Anthropic 500/529 storms must route through the retry helper, not cascade. Under load Foxy should degrade gracefully.</t>
        </is>
      </c>
      <c r="F9" s="36" t="inlineStr">
        <is>
          <t>Ability to simulate an AI provider error in staging.</t>
        </is>
      </c>
      <c r="G9" s="36" t="inlineStr">
        <is>
          <t>1) Force a provider 529 in staging. 2) Observe Foxy behavior. 3) Confirm the call went through the retry helper / circuit breaker.</t>
        </is>
      </c>
      <c r="H9" s="36" t="inlineStr">
        <is>
          <t>Foxy retries with backoff and, if still failing, shows a 'high demand, retrying' message via the circuit breaker — never a static-content fallback and never a raw stack trace.</t>
        </is>
      </c>
      <c r="I9" s="36" t="inlineStr">
        <is>
          <t>Staging log + user-facing message screenshot</t>
        </is>
      </c>
      <c r="J9" s="41" t="inlineStr">
        <is>
          <t>NOT RUN</t>
        </is>
      </c>
      <c r="K9" s="36" t="inlineStr">
        <is>
          <t>Claude</t>
        </is>
      </c>
      <c r="L9" s="36" t="n"/>
      <c r="M9" s="36" t="n"/>
      <c r="N9" s="36" t="inlineStr">
        <is>
          <t>[T2 | Phase 2 | Claude] repo's own vitest/Playwright suite, run headless</t>
        </is>
      </c>
    </row>
    <row r="10" ht="32.8" customHeight="1" s="29">
      <c r="A10" s="37" t="inlineStr">
        <is>
          <t>FOXY-0008</t>
        </is>
      </c>
      <c r="B10" s="54" t="inlineStr">
        <is>
          <t>P1</t>
        </is>
      </c>
      <c r="C10" s="37" t="inlineStr">
        <is>
          <t>Backend</t>
        </is>
      </c>
      <c r="D10" s="37" t="inlineStr">
        <is>
          <t>No per-user data in a shared cache</t>
        </is>
      </c>
      <c r="E10" s="37" t="inlineStr">
        <is>
          <t>Shared answer caches are fine for identical (chapter, canonical question) pairs but must never key on user-specific content, or one student sees another's data.</t>
        </is>
      </c>
      <c r="F10" s="37" t="inlineStr">
        <is>
          <t>Access to the caching layer/config.</t>
        </is>
      </c>
      <c r="G10" s="37" t="inlineStr">
        <is>
          <t>1) Review the cache key scheme. 2) Confirm shared entries key on query-hash+chapter+language, never on user id for shared content.</t>
        </is>
      </c>
      <c r="H10" s="37" t="inlineStr">
        <is>
          <t>Shared cache holds only user-independent content; per-user content is never served from a shared key.</t>
        </is>
      </c>
      <c r="I10" s="37" t="inlineStr">
        <is>
          <t>Cache key config review note</t>
        </is>
      </c>
      <c r="J10" s="43" t="inlineStr">
        <is>
          <t>NOT RUN</t>
        </is>
      </c>
      <c r="K10" s="37" t="inlineStr">
        <is>
          <t>Claude</t>
        </is>
      </c>
      <c r="L10" s="37" t="n"/>
      <c r="M10" s="37" t="n"/>
      <c r="N10" s="37" t="inlineStr">
        <is>
          <t>[T2 | Phase 2 | Claude] repo's own vitest/Playwright suite, run headless</t>
        </is>
      </c>
    </row>
    <row r="11" ht="22.35" customHeight="1" s="29">
      <c r="A11" s="36" t="inlineStr">
        <is>
          <t>FOXY-0009</t>
        </is>
      </c>
      <c r="B11" s="55" t="inlineStr">
        <is>
          <t>P2</t>
        </is>
      </c>
      <c r="C11" s="36" t="inlineStr">
        <is>
          <t>Frontend</t>
        </is>
      </c>
      <c r="D11" s="36" t="inlineStr">
        <is>
          <t>Foxy chat history persists correctly</t>
        </is>
      </c>
      <c r="E11" s="36" t="inlineStr">
        <is>
          <t>Students expect their conversation to survive a refresh and stay theirs.</t>
        </is>
      </c>
      <c r="F11" s="36" t="inlineStr">
        <is>
          <t>A Foxy session with several turns.</t>
        </is>
      </c>
      <c r="G11" s="36" t="inlineStr">
        <is>
          <t>1) Hold a multi-turn chat. 2) Refresh / re-login. 3) Confirm history is intact and scoped to the user.</t>
        </is>
      </c>
      <c r="H11" s="36" t="inlineStr">
        <is>
          <t>History persists per foxy_chat_messages and shows only this user's turns.</t>
        </is>
      </c>
      <c r="I11" s="36" t="inlineStr">
        <is>
          <t>Screenshot after refresh + SQL scoping</t>
        </is>
      </c>
      <c r="J11" s="41" t="inlineStr">
        <is>
          <t>NOT RUN</t>
        </is>
      </c>
      <c r="K11" s="36" t="inlineStr">
        <is>
          <t>Claude</t>
        </is>
      </c>
      <c r="L11" s="36" t="n"/>
      <c r="M11" s="36" t="n"/>
      <c r="N11" s="36" t="inlineStr">
        <is>
          <t>[T2 | Phase 2 | Claude] repo's own vitest/Playwright suite, run headless</t>
        </is>
      </c>
    </row>
  </sheetData>
  <autoFilter ref="A2:N11"/>
  <mergeCells count="1">
    <mergeCell ref="A1:N1"/>
  </mergeCells>
  <conditionalFormatting sqref="J3:J11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11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04 · Content &amp; RAG Supply Chain   —   8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32.8" customHeight="1" s="29">
      <c r="A3" s="36" t="inlineStr">
        <is>
          <t>RAG-0001</t>
        </is>
      </c>
      <c r="B3" s="53" t="inlineStr">
        <is>
          <t>P0</t>
        </is>
      </c>
      <c r="C3" s="36" t="inlineStr">
        <is>
          <t>DB</t>
        </is>
      </c>
      <c r="D3" s="36" t="inlineStr">
        <is>
          <t>Syllabus readiness matches real content</t>
        </is>
      </c>
      <c r="E3" s="36" t="inlineStr">
        <is>
          <t>cbse_syllabus.rag_status/chunk_count drive what the product thinks is teachable. If these lie, students get gaps or errors.</t>
        </is>
      </c>
      <c r="F3" s="36" t="inlineStr">
        <is>
          <t>Read access to cbse_syllabus and rag_content_chunks.</t>
        </is>
      </c>
      <c r="G3" s="36" t="inlineStr">
        <is>
          <t>1) Pick 5 random (board,grade,subject,chapter) rows. 2) For each, count actual active chunks and verified questions. 3) Compare to the stored chunk_count / verified count / rag_status.</t>
        </is>
      </c>
      <c r="H3" s="36" t="inlineStr">
        <is>
          <t>Stored counts and rag_status match the actual indexed content for all 5.</t>
        </is>
      </c>
      <c r="I3" s="36" t="inlineStr">
        <is>
          <t>SQL comparison table for 5 chapters</t>
        </is>
      </c>
      <c r="J3" s="41" t="inlineStr">
        <is>
          <t>NOT RUN</t>
        </is>
      </c>
      <c r="K3" s="36" t="inlineStr">
        <is>
          <t>Claude (pending env)</t>
        </is>
      </c>
      <c r="L3" s="36" t="n"/>
      <c r="M3" s="36" t="n"/>
      <c r="N3" s="36" t="inlineStr">
        <is>
          <t>[T3 | Phase 3 | Claude (pending env)] parametrized SQL probe via live/staging Supabase. awaiting live/staging Supabase read access + A/B test accounts</t>
        </is>
      </c>
    </row>
    <row r="4" ht="22.35" customHeight="1" s="29">
      <c r="A4" s="37" t="inlineStr">
        <is>
          <t>RAG-0002</t>
        </is>
      </c>
      <c r="B4" s="53" t="inlineStr">
        <is>
          <t>P0</t>
        </is>
      </c>
      <c r="C4" s="37" t="inlineStr">
        <is>
          <t>DB</t>
        </is>
      </c>
      <c r="D4" s="37" t="inlineStr">
        <is>
          <t>Zero unverified questions served to mastery/mock paths</t>
        </is>
      </c>
      <c r="E4" s="37" t="inlineStr">
        <is>
          <t>The content-poisoning guard at the source. Unverified items must never reach a mock exam or mastery flow.</t>
        </is>
      </c>
      <c r="F4" s="37" t="inlineStr">
        <is>
          <t>Access to question_bank and mock/mastery serving logs.</t>
        </is>
      </c>
      <c r="G4" s="37" t="inlineStr">
        <is>
          <t>1) Pull all question_ids served into mock exams and mastery flows during testing. 2) Join to question_bank.verification_state.</t>
        </is>
      </c>
      <c r="H4" s="37" t="inlineStr">
        <is>
          <t>100% of served items are 'verified'; zero unverified.</t>
        </is>
      </c>
      <c r="I4" s="37" t="inlineStr">
        <is>
          <t>SQL join result</t>
        </is>
      </c>
      <c r="J4" s="43" t="inlineStr">
        <is>
          <t>NOT RUN</t>
        </is>
      </c>
      <c r="K4" s="37" t="inlineStr">
        <is>
          <t>Claude</t>
        </is>
      </c>
      <c r="L4" s="37" t="n"/>
      <c r="M4" s="37" t="n"/>
      <c r="N4" s="37" t="inlineStr">
        <is>
          <t>[T1 | Phase 1 | Claude] static code/config/migration review, file:line evidence</t>
        </is>
      </c>
    </row>
    <row r="5" ht="43.25" customHeight="1" s="29">
      <c r="A5" s="36" t="inlineStr">
        <is>
          <t>RAG-0003</t>
        </is>
      </c>
      <c r="B5" s="53" t="inlineStr">
        <is>
          <t>P0</t>
        </is>
      </c>
      <c r="C5" s="36" t="inlineStr">
        <is>
          <t>Backend</t>
        </is>
      </c>
      <c r="D5" s="36" t="inlineStr">
        <is>
          <t>Old syllabus cannot resurface (atomic pack swap)</t>
        </is>
      </c>
      <c r="E5" s="36" t="inlineStr">
        <is>
          <t>A partial purge once resurfaced old-syllabus content. Re-index must be all-or-nothing per chapter and old rows deleted.</t>
        </is>
      </c>
      <c r="F5" s="36" t="inlineStr">
        <is>
          <t>Staging with an old and new pack for one chapter.</t>
        </is>
      </c>
      <c r="G5" s="36" t="inlineStr">
        <is>
          <t>1) In staging, run a re-index for one chapter (new pack). 2) During the swap, confirm serving never shows a mix of old+new. 3) After, confirm old rows are DELETED (not soft-deleted) and only is_active=new serves. 4) Smoke-test Foxy + Quiz on that chapter.</t>
        </is>
      </c>
      <c r="H5" s="36" t="inlineStr">
        <is>
          <t>Serving flips atomically new↔old; old rows gone; Foxy and Quiz show only current content; the re-index is logged with chunk counts.</t>
        </is>
      </c>
      <c r="I5" s="36" t="inlineStr">
        <is>
          <t>Before/during/after SQL + smoke screenshots</t>
        </is>
      </c>
      <c r="J5" s="41" t="inlineStr">
        <is>
          <t>NOT RUN</t>
        </is>
      </c>
      <c r="K5" s="36" t="inlineStr">
        <is>
          <t>Claude</t>
        </is>
      </c>
      <c r="L5" s="36" t="n"/>
      <c r="M5" s="36" t="n"/>
      <c r="N5" s="36" t="inlineStr">
        <is>
          <t>[T1 | Phase 1 | Claude] static code/config/migration review, file:line evidence</t>
        </is>
      </c>
    </row>
    <row r="6" ht="32.8" customHeight="1" s="29">
      <c r="A6" s="37" t="inlineStr">
        <is>
          <t>RAG-0004</t>
        </is>
      </c>
      <c r="B6" s="54" t="inlineStr">
        <is>
          <t>P1</t>
        </is>
      </c>
      <c r="C6" s="37" t="inlineStr">
        <is>
          <t>Backend</t>
        </is>
      </c>
      <c r="D6" s="37" t="inlineStr">
        <is>
          <t>Verification provenance recorded</t>
        </is>
      </c>
      <c r="E6" s="37" t="inlineStr">
        <is>
          <t>Every verified question must carry proof it was checked against real NCERT chunks (verifier_chunk_ids). Without provenance, 'verified' is just a flag.</t>
        </is>
      </c>
      <c r="F6" s="37" t="inlineStr">
        <is>
          <t>Recently verified questions exist.</t>
        </is>
      </c>
      <c r="G6" s="37" t="inlineStr">
        <is>
          <t>1) Sample verified questions. 2) Confirm each has verifier_chunk_ids, verifier_model, verifier_trace_id populated. 3) Spot-check that a cited chunk actually supports the question.</t>
        </is>
      </c>
      <c r="H6" s="37" t="inlineStr">
        <is>
          <t>All verified items have provenance; the cited chunks genuinely support the item.</t>
        </is>
      </c>
      <c r="I6" s="37" t="inlineStr">
        <is>
          <t>SQL + manual spot-check note</t>
        </is>
      </c>
      <c r="J6" s="43" t="inlineStr">
        <is>
          <t>NOT RUN</t>
        </is>
      </c>
      <c r="K6" s="37" t="inlineStr">
        <is>
          <t>Claude (pending env)</t>
        </is>
      </c>
      <c r="L6" s="37" t="n"/>
      <c r="M6" s="37" t="n"/>
      <c r="N6" s="37" t="inlineStr">
        <is>
          <t>[T3 | Phase 3 | Claude (pending env)] parametrized SQL probe via live/staging Supabase. awaiting live/staging Supabase read access + A/B test accounts</t>
        </is>
      </c>
    </row>
    <row r="7" ht="22.35" customHeight="1" s="29">
      <c r="A7" s="36" t="inlineStr">
        <is>
          <t>RAG-0005</t>
        </is>
      </c>
      <c r="B7" s="54" t="inlineStr">
        <is>
          <t>P1</t>
        </is>
      </c>
      <c r="C7" s="36" t="inlineStr">
        <is>
          <t>Backend</t>
        </is>
      </c>
      <c r="D7" s="36" t="inlineStr">
        <is>
          <t>Double-verification prevented (claim/expiry)</t>
        </is>
      </c>
      <c r="E7" s="36" t="inlineStr">
        <is>
          <t>Concurrent verifier workers must not both process the same item, or provenance and state race.</t>
        </is>
      </c>
      <c r="F7" s="36" t="inlineStr">
        <is>
          <t>Multiple verifier workers in staging.</t>
        </is>
      </c>
      <c r="G7" s="36" t="inlineStr">
        <is>
          <t>1) Run verification with concurrency. 2) Confirm verification_claimed_by + claim_expires_at gate each item. 3) Confirm no item is verified twice.</t>
        </is>
      </c>
      <c r="H7" s="36" t="inlineStr">
        <is>
          <t>Each item claimed once; expired claims are re-claimable; no double-verification.</t>
        </is>
      </c>
      <c r="I7" s="36" t="inlineStr">
        <is>
          <t>SQL of claim records</t>
        </is>
      </c>
      <c r="J7" s="41" t="inlineStr">
        <is>
          <t>NOT RUN</t>
        </is>
      </c>
      <c r="K7" s="36" t="inlineStr">
        <is>
          <t>Claude</t>
        </is>
      </c>
      <c r="L7" s="36" t="n"/>
      <c r="M7" s="36" t="n"/>
      <c r="N7" s="36" t="inlineStr">
        <is>
          <t>[T1 | Phase 1 | Claude] static code/config/migration review, file:line evidence</t>
        </is>
      </c>
    </row>
    <row r="8" ht="22.35" customHeight="1" s="29">
      <c r="A8" s="37" t="inlineStr">
        <is>
          <t>RAG-0006</t>
        </is>
      </c>
      <c r="B8" s="54" t="inlineStr">
        <is>
          <t>P1</t>
        </is>
      </c>
      <c r="C8" s="37" t="inlineStr">
        <is>
          <t>Backend</t>
        </is>
      </c>
      <c r="D8" s="37" t="inlineStr">
        <is>
          <t>content_gaps feedback loop is alive</t>
        </is>
      </c>
      <c r="E8" s="37" t="inlineStr">
        <is>
          <t>Gaps must be logged so content teams know what to build. A silent gap is invisible demand lost.</t>
        </is>
      </c>
      <c r="F8" s="37" t="inlineStr">
        <is>
          <t>Ability to trigger a gap.</t>
        </is>
      </c>
      <c r="G8" s="37" t="inlineStr">
        <is>
          <t>1) Ask an in-scope-but-unindexed question. 2) Confirm a content_gaps row is written with chapter/context.</t>
        </is>
      </c>
      <c r="H8" s="37" t="inlineStr">
        <is>
          <t>Every CURRICULUM_GAP writes a content_gaps row with enough context to act on.</t>
        </is>
      </c>
      <c r="I8" s="37" t="inlineStr">
        <is>
          <t>SQL row</t>
        </is>
      </c>
      <c r="J8" s="43" t="inlineStr">
        <is>
          <t>NOT RUN</t>
        </is>
      </c>
      <c r="K8" s="37" t="inlineStr">
        <is>
          <t>Claude</t>
        </is>
      </c>
      <c r="L8" s="37" t="n"/>
      <c r="M8" s="37" t="n"/>
      <c r="N8" s="37" t="inlineStr">
        <is>
          <t>[T1 | Phase 1 | Claude] static code/config/migration review, file:line evidence</t>
        </is>
      </c>
    </row>
    <row r="9" ht="22.35" customHeight="1" s="29">
      <c r="A9" s="36" t="inlineStr">
        <is>
          <t>RAG-0007</t>
        </is>
      </c>
      <c r="B9" s="55" t="inlineStr">
        <is>
          <t>P2</t>
        </is>
      </c>
      <c r="C9" s="36" t="inlineStr">
        <is>
          <t>Ops</t>
        </is>
      </c>
      <c r="D9" s="36" t="inlineStr">
        <is>
          <t>Ingestion frozen during launch window</t>
        </is>
      </c>
      <c r="E9" s="36" t="inlineStr">
        <is>
          <t>A re-index mid-launch can swap content under live users. Ingestion must be frozen during the launch/test window.</t>
        </is>
      </c>
      <c r="F9" s="36" t="inlineStr">
        <is>
          <t>Access to the ingestion job schedule/audit.</t>
        </is>
      </c>
      <c r="G9" s="36" t="inlineStr">
        <is>
          <t>1) Confirm no ingestion/re-index job is scheduled or ran during the launch window. 2) Check audit_logs.</t>
        </is>
      </c>
      <c r="H9" s="36" t="inlineStr">
        <is>
          <t>No ingestion activity in the window; freeze confirmed in the audit log.</t>
        </is>
      </c>
      <c r="I9" s="36" t="inlineStr">
        <is>
          <t>Schedule + audit screenshot</t>
        </is>
      </c>
      <c r="J9" s="41" t="inlineStr">
        <is>
          <t>NOT RUN</t>
        </is>
      </c>
      <c r="K9" s="36" t="inlineStr">
        <is>
          <t>Claude</t>
        </is>
      </c>
      <c r="L9" s="36" t="n"/>
      <c r="M9" s="36" t="n"/>
      <c r="N9" s="36" t="inlineStr">
        <is>
          <t>[T1 | Phase 1 | Claude] static code/config/migration review, file:line evidence</t>
        </is>
      </c>
    </row>
    <row r="10" ht="32.8" customHeight="1" s="29">
      <c r="A10" s="37" t="inlineStr">
        <is>
          <t>RAG-0008</t>
        </is>
      </c>
      <c r="B10" s="54" t="inlineStr">
        <is>
          <t>P1</t>
        </is>
      </c>
      <c r="C10" s="37" t="inlineStr">
        <is>
          <t>DB</t>
        </is>
      </c>
      <c r="D10" s="37" t="inlineStr">
        <is>
          <t>Single chunk store / single taxonomy</t>
        </is>
      </c>
      <c r="E10" s="37" t="inlineStr">
        <is>
          <t>Duplicate stores or taxonomies (the duplication failure class) let surfaces drift. There must be one canonical each.</t>
        </is>
      </c>
      <c r="F10" s="37" t="inlineStr">
        <is>
          <t>DB access.</t>
        </is>
      </c>
      <c r="G10" s="37" t="inlineStr">
        <is>
          <t>1) Confirm rag_content_chunks is the only populated chunk store (textbook_chunks empty). 2) Confirm cbse_syllabus is the only populated taxonomy (curriculum_topics etc. empty or reference-only).</t>
        </is>
      </c>
      <c r="H10" s="37" t="inlineStr">
        <is>
          <t>One populated chunk store and one populated taxonomy; no parallel populated duplicates serving content.</t>
        </is>
      </c>
      <c r="I10" s="37" t="inlineStr">
        <is>
          <t>SQL row counts of candidate tables</t>
        </is>
      </c>
      <c r="J10" s="43" t="inlineStr">
        <is>
          <t>NOT RUN</t>
        </is>
      </c>
      <c r="K10" s="37" t="inlineStr">
        <is>
          <t>Claude (pending env)</t>
        </is>
      </c>
      <c r="L10" s="37" t="n"/>
      <c r="M10" s="37" t="n"/>
      <c r="N10" s="37" t="inlineStr">
        <is>
          <t>[T3 | Phase 3 | Claude (pending env)] parametrized SQL probe via live/staging Supabase. awaiting live/staging Supabase read access + A/B test accounts</t>
        </is>
      </c>
    </row>
  </sheetData>
  <autoFilter ref="A2:N10"/>
  <mergeCells count="1">
    <mergeCell ref="A1:N1"/>
  </mergeCells>
  <conditionalFormatting sqref="J3:J10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10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05 · Parent Vertical   —   6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32.8" customHeight="1" s="29">
      <c r="A3" s="36" t="inlineStr">
        <is>
          <t>PAR-0001</t>
        </is>
      </c>
      <c r="B3" s="53" t="inlineStr">
        <is>
          <t>P0</t>
        </is>
      </c>
      <c r="C3" s="36" t="inlineStr">
        <is>
          <t>Backend</t>
        </is>
      </c>
      <c r="D3" s="36" t="inlineStr">
        <is>
          <t>Child linking via OTP</t>
        </is>
      </c>
      <c r="E3" s="36" t="inlineStr">
        <is>
          <t>Parents must link to their own child via a verifiable OTP. A weak link lets anyone attach to any child — a serious privacy breach.</t>
        </is>
      </c>
      <c r="F3" s="36" t="inlineStr">
        <is>
          <t>A guardian account and a test student.</t>
        </is>
      </c>
      <c r="G3" s="36" t="inlineStr">
        <is>
          <t>1) As guardian, request to link the test student. 2) Enter the correct OTP. 3) Confirm guardian_student_links row. 4) Retry with a wrong OTP and with an expired OTP.</t>
        </is>
      </c>
      <c r="H3" s="36" t="inlineStr">
        <is>
          <t>Correct OTP links; link row created; wrong/expired OTP rejected; OTP is single-use and time-limited.</t>
        </is>
      </c>
      <c r="I3" s="36" t="inlineStr">
        <is>
          <t>Screenshots + SQL link row</t>
        </is>
      </c>
      <c r="J3" s="41" t="inlineStr">
        <is>
          <t>NOT RUN</t>
        </is>
      </c>
      <c r="K3" s="36" t="inlineStr">
        <is>
          <t>Claude</t>
        </is>
      </c>
      <c r="L3" s="36" t="n"/>
      <c r="M3" s="36" t="n"/>
      <c r="N3" s="36" t="inlineStr">
        <is>
          <t>[T2 | Phase 2 | Claude] repo's own vitest/Playwright suite, run headless</t>
        </is>
      </c>
    </row>
    <row r="4" ht="22.35" customHeight="1" s="29">
      <c r="A4" s="37" t="inlineStr">
        <is>
          <t>PAR-0002</t>
        </is>
      </c>
      <c r="B4" s="53" t="inlineStr">
        <is>
          <t>P0</t>
        </is>
      </c>
      <c r="C4" s="37" t="inlineStr">
        <is>
          <t>Backend+DB</t>
        </is>
      </c>
      <c r="D4" s="37" t="inlineStr">
        <is>
          <t>Parental consent recorded (DPDP)</t>
        </is>
      </c>
      <c r="E4" s="37" t="inlineStr">
        <is>
          <t>Legal requirement for minors. Consent must be captured and stored, or the platform is non-compliant with DPDP 2023.</t>
        </is>
      </c>
      <c r="F4" s="37" t="inlineStr">
        <is>
          <t>A newly linked guardian/child.</t>
        </is>
      </c>
      <c r="G4" s="37" t="inlineStr">
        <is>
          <t>1) Complete the consent step. 2) Confirm a parental_consent row exists for the guardian/child with timestamp and scope.</t>
        </is>
      </c>
      <c r="H4" s="37" t="inlineStr">
        <is>
          <t>Consent row written; a child cannot be fully active without it (per the launch consent policy).</t>
        </is>
      </c>
      <c r="I4" s="37" t="inlineStr">
        <is>
          <t>SQL consent row</t>
        </is>
      </c>
      <c r="J4" s="43" t="inlineStr">
        <is>
          <t>NOT RUN</t>
        </is>
      </c>
      <c r="K4" s="37" t="inlineStr">
        <is>
          <t>Claude</t>
        </is>
      </c>
      <c r="L4" s="37" t="n"/>
      <c r="M4" s="37" t="n"/>
      <c r="N4" s="37" t="inlineStr">
        <is>
          <t>[T2 | Phase 2 | Claude] repo's own vitest/Playwright suite, run headless</t>
        </is>
      </c>
    </row>
    <row r="5" ht="32.8" customHeight="1" s="29">
      <c r="A5" s="36" t="inlineStr">
        <is>
          <t>PAR-0003</t>
        </is>
      </c>
      <c r="B5" s="53" t="inlineStr">
        <is>
          <t>P0</t>
        </is>
      </c>
      <c r="C5" s="36" t="inlineStr">
        <is>
          <t>Backend</t>
        </is>
      </c>
      <c r="D5" s="36" t="inlineStr">
        <is>
          <t>Guardian sees ONLY linked children</t>
        </is>
      </c>
      <c r="E5" s="36" t="inlineStr">
        <is>
          <t>RLS breach here exposes a stranger's child's data. This is the highest-severity privacy test in the parent module.</t>
        </is>
      </c>
      <c r="F5" s="36" t="inlineStr">
        <is>
          <t>A guardian linked to child A, plus an unlinked child B.</t>
        </is>
      </c>
      <c r="G5" s="36" t="inlineStr">
        <is>
          <t>1) As guardian, open the portal. 2) Attempt to view child A (allowed) and child B (must be blocked) — try direct URL/ID manipulation for B.</t>
        </is>
      </c>
      <c r="H5" s="36" t="inlineStr">
        <is>
          <t>Guardian sees only child A; any attempt to reach child B (incl. ID tampering) is denied by the is_guardian_of check server-side.</t>
        </is>
      </c>
      <c r="I5" s="36" t="inlineStr">
        <is>
          <t>Screenshots + denied request capture</t>
        </is>
      </c>
      <c r="J5" s="41" t="inlineStr">
        <is>
          <t>NOT RUN</t>
        </is>
      </c>
      <c r="K5" s="36" t="inlineStr">
        <is>
          <t>Claude</t>
        </is>
      </c>
      <c r="L5" s="36" t="n"/>
      <c r="M5" s="36" t="n"/>
      <c r="N5" s="36" t="inlineStr">
        <is>
          <t>[T2 | Phase 2 | Claude] repo's own vitest/Playwright suite, run headless</t>
        </is>
      </c>
    </row>
    <row r="6" ht="22.35" customHeight="1" s="29">
      <c r="A6" s="37" t="inlineStr">
        <is>
          <t>PAR-0004</t>
        </is>
      </c>
      <c r="B6" s="54" t="inlineStr">
        <is>
          <t>P1</t>
        </is>
      </c>
      <c r="C6" s="37" t="inlineStr">
        <is>
          <t>Backend+DB</t>
        </is>
      </c>
      <c r="D6" s="37" t="inlineStr">
        <is>
          <t>Weekly report reflects real activity</t>
        </is>
      </c>
      <c r="E6" s="37" t="inlineStr">
        <is>
          <t>The report is the #1 parent-satisfaction driver. It must show the child's actual data, matching the student dashboard.</t>
        </is>
      </c>
      <c r="F6" s="37" t="inlineStr">
        <is>
          <t>A linked child with activity this cycle.</t>
        </is>
      </c>
      <c r="G6" s="37" t="inlineStr">
        <is>
          <t>1) Generate/open the weekly report. 2) Compare its mastery/activity numbers to the student dashboard for the same period.</t>
        </is>
      </c>
      <c r="H6" s="37" t="inlineStr">
        <is>
          <t>Report numbers match the student dashboard exactly; no placeholder/empty sections.</t>
        </is>
      </c>
      <c r="I6" s="37" t="inlineStr">
        <is>
          <t>Report + student dashboard screenshots side by side</t>
        </is>
      </c>
      <c r="J6" s="43" t="inlineStr">
        <is>
          <t>NOT RUN</t>
        </is>
      </c>
      <c r="K6" s="37" t="inlineStr">
        <is>
          <t>Claude</t>
        </is>
      </c>
      <c r="L6" s="37" t="n"/>
      <c r="M6" s="37" t="n"/>
      <c r="N6" s="37" t="inlineStr">
        <is>
          <t>[T2 | Phase 2 | Claude] repo's own vitest/Playwright suite, run headless</t>
        </is>
      </c>
    </row>
    <row r="7" ht="22.35" customHeight="1" s="29">
      <c r="A7" s="36" t="inlineStr">
        <is>
          <t>PAR-0005</t>
        </is>
      </c>
      <c r="B7" s="54" t="inlineStr">
        <is>
          <t>P1</t>
        </is>
      </c>
      <c r="C7" s="36" t="inlineStr">
        <is>
          <t>Backend</t>
        </is>
      </c>
      <c r="D7" s="36" t="inlineStr">
        <is>
          <t>WhatsApp delivery</t>
        </is>
      </c>
      <c r="E7" s="36" t="inlineStr">
        <is>
          <t>If reports/alerts never reach the parent's phone, the engagement loop is broken silently.</t>
        </is>
      </c>
      <c r="F7" s="36" t="inlineStr">
        <is>
          <t>A guardian with a reachable test WhatsApp number.</t>
        </is>
      </c>
      <c r="G7" s="36" t="inlineStr">
        <is>
          <t>1) Trigger a report/alert to WhatsApp. 2) Confirm receipt on the device. 3) Confirm exactly one message (no duplicate).</t>
        </is>
      </c>
      <c r="H7" s="36" t="inlineStr">
        <is>
          <t>Message delivered once to the correct number; content correct.</t>
        </is>
      </c>
      <c r="I7" s="36" t="inlineStr">
        <is>
          <t>Phone screenshot + dispatch log</t>
        </is>
      </c>
      <c r="J7" s="41" t="inlineStr">
        <is>
          <t>NOT RUN</t>
        </is>
      </c>
      <c r="K7" s="36" t="inlineStr">
        <is>
          <t>Human</t>
        </is>
      </c>
      <c r="L7" s="36" t="n"/>
      <c r="M7" s="36" t="n"/>
      <c r="N7" s="36" t="inlineStr">
        <is>
          <t>[T5 | Phase 5 | Human] human-executed (real money/device/inbox). awaiting human executor (LIVE keys / physical device / real inbox)</t>
        </is>
      </c>
    </row>
    <row r="8" ht="22.35" customHeight="1" s="29">
      <c r="A8" s="37" t="inlineStr">
        <is>
          <t>PAR-0006</t>
        </is>
      </c>
      <c r="B8" s="55" t="inlineStr">
        <is>
          <t>P2</t>
        </is>
      </c>
      <c r="C8" s="37" t="inlineStr">
        <is>
          <t>Frontend</t>
        </is>
      </c>
      <c r="D8" s="37" t="inlineStr">
        <is>
          <t>Parent dashboard clarity</t>
        </is>
      </c>
      <c r="E8" s="37" t="inlineStr">
        <is>
          <t>Parents are often non-technical. The first-view dashboard must be understandable without training.</t>
        </is>
      </c>
      <c r="F8" s="37" t="inlineStr">
        <is>
          <t>A linked guardian with a child who has activity.</t>
        </is>
      </c>
      <c r="G8" s="37" t="inlineStr">
        <is>
          <t>1) Open the parent dashboard as a first-time parent would. 2) Assess whether progress, strengths, and gaps are clear.</t>
        </is>
      </c>
      <c r="H8" s="37" t="inlineStr">
        <is>
          <t>Key info (progress, what's improving, what needs help) is clear and jargon-free; no dead-end links.</t>
        </is>
      </c>
      <c r="I8" s="37" t="inlineStr">
        <is>
          <t>Screenshot + reviewer note</t>
        </is>
      </c>
      <c r="J8" s="43" t="inlineStr">
        <is>
          <t>NOT RUN</t>
        </is>
      </c>
      <c r="K8" s="37" t="inlineStr">
        <is>
          <t>Claude</t>
        </is>
      </c>
      <c r="L8" s="37" t="n"/>
      <c r="M8" s="37" t="n"/>
      <c r="N8" s="37" t="inlineStr">
        <is>
          <t>[T2 | Phase 2 | Claude] repo's own vitest/Playwright suite, run headless</t>
        </is>
      </c>
    </row>
  </sheetData>
  <autoFilter ref="A2:N8"/>
  <mergeCells count="1">
    <mergeCell ref="A1:N1"/>
  </mergeCells>
  <conditionalFormatting sqref="J3:J8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8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06 · DPDP, Consent &amp; Data Rights   —   5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43.25" customHeight="1" s="29">
      <c r="A3" s="36" t="inlineStr">
        <is>
          <t>DPDP-0001</t>
        </is>
      </c>
      <c r="B3" s="53" t="inlineStr">
        <is>
          <t>P0</t>
        </is>
      </c>
      <c r="C3" s="36" t="inlineStr">
        <is>
          <t>Backend</t>
        </is>
      </c>
      <c r="D3" s="36" t="inlineStr">
        <is>
          <t>Erasure request → two-stage with grace</t>
        </is>
      </c>
      <c r="E3" s="36" t="inlineStr">
        <is>
          <t>DPDP gives users the right to deletion. It must be honored, staged (cancellable within grace), then hard-purged — with no orphan data left.</t>
        </is>
      </c>
      <c r="F3" s="36" t="inlineStr">
        <is>
          <t>A throwaway student account with activity (NEVER a real user).</t>
        </is>
      </c>
      <c r="G3" s="36" t="inlineStr">
        <is>
          <t>1) File an erasure request for the throwaway account → data_erasure_requests stage 1. 2) Confirm the 7-day grace and cancellability. 3) Advance to purge (account-purge). 4) Query every user-scoped table for leftover rows.</t>
        </is>
      </c>
      <c r="H3" s="36" t="inlineStr">
        <is>
          <t>Two-stage flow honored; after purge, zero rows remain for that user across mastery, chat, payments, gamification, sessions, etc.</t>
        </is>
      </c>
      <c r="I3" s="36" t="inlineStr">
        <is>
          <t>SQL sweep showing 0 residual rows</t>
        </is>
      </c>
      <c r="J3" s="41" t="inlineStr">
        <is>
          <t>NOT RUN</t>
        </is>
      </c>
      <c r="K3" s="36" t="inlineStr">
        <is>
          <t>Claude</t>
        </is>
      </c>
      <c r="L3" s="36" t="n"/>
      <c r="M3" s="36" t="n"/>
      <c r="N3" s="36" t="inlineStr">
        <is>
          <t>[T2 | Phase 2 | Claude] repo's own vitest/Playwright suite, run headless</t>
        </is>
      </c>
    </row>
    <row r="4" ht="22.35" customHeight="1" s="29">
      <c r="A4" s="37" t="inlineStr">
        <is>
          <t>DPDP-0002</t>
        </is>
      </c>
      <c r="B4" s="53" t="inlineStr">
        <is>
          <t>P0</t>
        </is>
      </c>
      <c r="C4" s="37" t="inlineStr">
        <is>
          <t>Backend</t>
        </is>
      </c>
      <c r="D4" s="37" t="inlineStr">
        <is>
          <t>Data export returns only the requester's data</t>
        </is>
      </c>
      <c r="E4" s="37" t="inlineStr">
        <is>
          <t>Export is a legal right AND a leak risk. It must return the requester's data and nothing from another user.</t>
        </is>
      </c>
      <c r="F4" s="37" t="inlineStr">
        <is>
          <t>Two throwaway accounts with distinct data.</t>
        </is>
      </c>
      <c r="G4" s="37" t="inlineStr">
        <is>
          <t>1) Request export for account A. 2) Inspect the export. 3) Confirm it contains A's data and NONE of B's.</t>
        </is>
      </c>
      <c r="H4" s="37" t="inlineStr">
        <is>
          <t>Export is complete for A and contains zero rows belonging to any other user.</t>
        </is>
      </c>
      <c r="I4" s="37" t="inlineStr">
        <is>
          <t>Export file review + note</t>
        </is>
      </c>
      <c r="J4" s="43" t="inlineStr">
        <is>
          <t>NOT RUN</t>
        </is>
      </c>
      <c r="K4" s="37" t="inlineStr">
        <is>
          <t>Claude</t>
        </is>
      </c>
      <c r="L4" s="37" t="n"/>
      <c r="M4" s="37" t="n"/>
      <c r="N4" s="37" t="inlineStr">
        <is>
          <t>[T2 | Phase 2 | Claude] repo's own vitest/Playwright suite, run headless</t>
        </is>
      </c>
    </row>
    <row r="5" ht="32.8" customHeight="1" s="29">
      <c r="A5" s="36" t="inlineStr">
        <is>
          <t>DPDP-0003</t>
        </is>
      </c>
      <c r="B5" s="54" t="inlineStr">
        <is>
          <t>P1</t>
        </is>
      </c>
      <c r="C5" s="36" t="inlineStr">
        <is>
          <t>Backend</t>
        </is>
      </c>
      <c r="D5" s="36" t="inlineStr">
        <is>
          <t>Existing-student consent stance enforced</t>
        </is>
      </c>
      <c r="E5" s="36" t="inlineStr">
        <is>
          <t>60 pre-existing students went live before consent capture. Their launch stance (e.g. flagged pending-consent) must be enforced consistently, per counsel.</t>
        </is>
      </c>
      <c r="F5" s="36" t="inlineStr">
        <is>
          <t>The documented interim consent policy.</t>
        </is>
      </c>
      <c r="G5" s="36" t="inlineStr">
        <is>
          <t>1) Confirm every existing student without consent is flagged/handled per the signed-off policy. 2) Confirm the behavior for a flagged account matches policy.</t>
        </is>
      </c>
      <c r="H5" s="36" t="inlineStr">
        <is>
          <t>All pre-existing minors without consent are handled exactly as the written policy specifies; no unhandled cases.</t>
        </is>
      </c>
      <c r="I5" s="36" t="inlineStr">
        <is>
          <t>SQL of flagged accounts + policy reference</t>
        </is>
      </c>
      <c r="J5" s="41" t="inlineStr">
        <is>
          <t>NOT RUN</t>
        </is>
      </c>
      <c r="K5" s="36" t="inlineStr">
        <is>
          <t>Claude</t>
        </is>
      </c>
      <c r="L5" s="36" t="n"/>
      <c r="M5" s="36" t="n"/>
      <c r="N5" s="36" t="inlineStr">
        <is>
          <t>[T2 | Phase 2 | Claude] repo's own vitest/Playwright suite, run headless</t>
        </is>
      </c>
    </row>
    <row r="6" ht="22.35" customHeight="1" s="29">
      <c r="A6" s="37" t="inlineStr">
        <is>
          <t>DPDP-0004</t>
        </is>
      </c>
      <c r="B6" s="54" t="inlineStr">
        <is>
          <t>P1</t>
        </is>
      </c>
      <c r="C6" s="37" t="inlineStr">
        <is>
          <t>Backend</t>
        </is>
      </c>
      <c r="D6" s="37" t="inlineStr">
        <is>
          <t>No behavioral ad tracking on student data</t>
        </is>
      </c>
      <c r="E6" s="37" t="inlineStr">
        <is>
          <t>A hard product rule and a legal one: student data must not feed behavioral advertising.</t>
        </is>
      </c>
      <c r="F6" s="37" t="inlineStr">
        <is>
          <t>Network/config review.</t>
        </is>
      </c>
      <c r="G6" s="37" t="inlineStr">
        <is>
          <t>1) Inspect the student app's outbound network for ad/analytics trackers. 2) Review third-party scripts.</t>
        </is>
      </c>
      <c r="H6" s="37" t="inlineStr">
        <is>
          <t>No behavioral-ad trackers on student surfaces; only permitted first-party/operational analytics.</t>
        </is>
      </c>
      <c r="I6" s="37" t="inlineStr">
        <is>
          <t>Network trace + script inventory</t>
        </is>
      </c>
      <c r="J6" s="43" t="inlineStr">
        <is>
          <t>NOT RUN</t>
        </is>
      </c>
      <c r="K6" s="37" t="inlineStr">
        <is>
          <t>Claude</t>
        </is>
      </c>
      <c r="L6" s="37" t="n"/>
      <c r="M6" s="37" t="n"/>
      <c r="N6" s="37" t="inlineStr">
        <is>
          <t>[T2 | Phase 2 | Claude] repo's own vitest/Playwright suite, run headless</t>
        </is>
      </c>
    </row>
    <row r="7" ht="22.35" customHeight="1" s="29">
      <c r="A7" s="36" t="inlineStr">
        <is>
          <t>DPDP-0005</t>
        </is>
      </c>
      <c r="B7" s="55" t="inlineStr">
        <is>
          <t>P2</t>
        </is>
      </c>
      <c r="C7" s="36" t="inlineStr">
        <is>
          <t>Backend</t>
        </is>
      </c>
      <c r="D7" s="36" t="inlineStr">
        <is>
          <t>Consent scope respected downstream</t>
        </is>
      </c>
      <c r="E7" s="36" t="inlineStr">
        <is>
          <t>Consent that isn't actually enforced downstream is theatre. Features requiring consent must check it.</t>
        </is>
      </c>
      <c r="F7" s="36" t="inlineStr">
        <is>
          <t>A child in a pending/limited-consent state.</t>
        </is>
      </c>
      <c r="G7" s="36" t="inlineStr">
        <is>
          <t>1) Attempt consent-gated actions (e.g. certain data sharing) for a non-consented child. 2) Observe.</t>
        </is>
      </c>
      <c r="H7" s="36" t="inlineStr">
        <is>
          <t>Consent-gated actions are blocked for non-consented children with a clear message.</t>
        </is>
      </c>
      <c r="I7" s="36" t="inlineStr">
        <is>
          <t>Screenshots of gated behavior</t>
        </is>
      </c>
      <c r="J7" s="41" t="inlineStr">
        <is>
          <t>NOT RUN</t>
        </is>
      </c>
      <c r="K7" s="36" t="inlineStr">
        <is>
          <t>Claude</t>
        </is>
      </c>
      <c r="L7" s="36" t="n"/>
      <c r="M7" s="36" t="n"/>
      <c r="N7" s="36" t="inlineStr">
        <is>
          <t>[T2 | Phase 2 | Claude] repo's own vitest/Playwright suite, run headless</t>
        </is>
      </c>
    </row>
  </sheetData>
  <autoFilter ref="A2:N7"/>
  <mergeCells count="1">
    <mergeCell ref="A1:N1"/>
  </mergeCells>
  <conditionalFormatting sqref="J3:J7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7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07 · Teacher Vertical   —   6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22.35" customHeight="1" s="29">
      <c r="A3" s="36" t="inlineStr">
        <is>
          <t>TEA-0001</t>
        </is>
      </c>
      <c r="B3" s="53" t="inlineStr">
        <is>
          <t>P0</t>
        </is>
      </c>
      <c r="C3" s="36" t="inlineStr">
        <is>
          <t>Backend</t>
        </is>
      </c>
      <c r="D3" s="36" t="inlineStr">
        <is>
          <t>Teacher sees only their own classes</t>
        </is>
      </c>
      <c r="E3" s="36" t="inlineStr">
        <is>
          <t>A teacher viewing another teacher's/school's students is a privacy and trust breach.</t>
        </is>
      </c>
      <c r="F3" s="36" t="inlineStr">
        <is>
          <t>Two teachers with different classes.</t>
        </is>
      </c>
      <c r="G3" s="36" t="inlineStr">
        <is>
          <t>1) As teacher T1, open the roster. 2) Attempt to access T2's class/student by ID manipulation.</t>
        </is>
      </c>
      <c r="H3" s="36" t="inlineStr">
        <is>
          <t>T1 sees only their classes; any attempt to reach T2's data is denied server-side.</t>
        </is>
      </c>
      <c r="I3" s="36" t="inlineStr">
        <is>
          <t>Screenshots + denied request</t>
        </is>
      </c>
      <c r="J3" s="41" t="inlineStr">
        <is>
          <t>NOT RUN</t>
        </is>
      </c>
      <c r="K3" s="36" t="inlineStr">
        <is>
          <t>Claude</t>
        </is>
      </c>
      <c r="L3" s="36" t="n"/>
      <c r="M3" s="36" t="n"/>
      <c r="N3" s="36" t="inlineStr">
        <is>
          <t>[T2 | Phase 2 | Claude] repo's own vitest/Playwright suite, run headless</t>
        </is>
      </c>
    </row>
    <row r="4" ht="22.35" customHeight="1" s="29">
      <c r="A4" s="37" t="inlineStr">
        <is>
          <t>TEA-0002</t>
        </is>
      </c>
      <c r="B4" s="54" t="inlineStr">
        <is>
          <t>P1</t>
        </is>
      </c>
      <c r="C4" s="37" t="inlineStr">
        <is>
          <t>Backend+DB</t>
        </is>
      </c>
      <c r="D4" s="37" t="inlineStr">
        <is>
          <t>Heatmap matches student mastery</t>
        </is>
      </c>
      <c r="E4" s="37" t="inlineStr">
        <is>
          <t>The teacher heatmap and the student dashboard read the same projections. Divergence means one of them is lying.</t>
        </is>
      </c>
      <c r="F4" s="37" t="inlineStr">
        <is>
          <t>A class with students who have activity.</t>
        </is>
      </c>
      <c r="G4" s="37" t="inlineStr">
        <is>
          <t>1) Open the heatmap for a class. 2) Pick 3 students and compare their heatmap mastery to their own dashboards for the same period.</t>
        </is>
      </c>
      <c r="H4" s="37" t="inlineStr">
        <is>
          <t>Heatmap values match each student's dashboard exactly.</t>
        </is>
      </c>
      <c r="I4" s="37" t="inlineStr">
        <is>
          <t>Side-by-side screenshots for 3 students</t>
        </is>
      </c>
      <c r="J4" s="43" t="inlineStr">
        <is>
          <t>NOT RUN</t>
        </is>
      </c>
      <c r="K4" s="37" t="inlineStr">
        <is>
          <t>Claude</t>
        </is>
      </c>
      <c r="L4" s="37" t="n"/>
      <c r="M4" s="37" t="n"/>
      <c r="N4" s="37" t="inlineStr">
        <is>
          <t>[T2 | Phase 2 | Claude] repo's own vitest/Playwright suite, run headless</t>
        </is>
      </c>
    </row>
    <row r="5" ht="32.8" customHeight="1" s="29">
      <c r="A5" s="36" t="inlineStr">
        <is>
          <t>TEA-0003</t>
        </is>
      </c>
      <c r="B5" s="53" t="inlineStr">
        <is>
          <t>P0</t>
        </is>
      </c>
      <c r="C5" s="36" t="inlineStr">
        <is>
          <t>Backend</t>
        </is>
      </c>
      <c r="D5" s="36" t="inlineStr">
        <is>
          <t>Remediation assignment reaches the student's Today</t>
        </is>
      </c>
      <c r="E5" s="36" t="inlineStr">
        <is>
          <t>This is a cross-vertical seam. If a teacher's assignment never appears in the student's plan, the teacher tool is useless.</t>
        </is>
      </c>
      <c r="F5" s="36" t="inlineStr">
        <is>
          <t>A teacher and a student in their class.</t>
        </is>
      </c>
      <c r="G5" s="36" t="inlineStr">
        <is>
          <t>1) As teacher, assign remediation on a concept to the student. 2) As that student, open Today/next-action within one resolver cycle. 3) Confirm the remediation appears.</t>
        </is>
      </c>
      <c r="H5" s="36" t="inlineStr">
        <is>
          <t>The assignment appears in the student's next-action within one resolver cycle; teacher_remediation_assignments row exists and is consumed by /api/learner/next.</t>
        </is>
      </c>
      <c r="I5" s="36" t="inlineStr">
        <is>
          <t>Teacher screenshot + student Today screenshot + SQL</t>
        </is>
      </c>
      <c r="J5" s="41" t="inlineStr">
        <is>
          <t>NOT RUN</t>
        </is>
      </c>
      <c r="K5" s="36" t="inlineStr">
        <is>
          <t>Claude</t>
        </is>
      </c>
      <c r="L5" s="36" t="n"/>
      <c r="M5" s="36" t="n"/>
      <c r="N5" s="36" t="inlineStr">
        <is>
          <t>[T2 | Phase 2 | Claude] repo's own vitest/Playwright suite, run headless</t>
        </is>
      </c>
    </row>
    <row r="6" ht="22.35" customHeight="1" s="29">
      <c r="A6" s="37" t="inlineStr">
        <is>
          <t>TEA-0004</t>
        </is>
      </c>
      <c r="B6" s="54" t="inlineStr">
        <is>
          <t>P1</t>
        </is>
      </c>
      <c r="C6" s="37" t="inlineStr">
        <is>
          <t>Backend</t>
        </is>
      </c>
      <c r="D6" s="37" t="inlineStr">
        <is>
          <t>At-risk list logic</t>
        </is>
      </c>
      <c r="E6" s="37" t="inlineStr">
        <is>
          <t>Flags the students who most need help. Wrong logic sends teachers to the wrong kids.</t>
        </is>
      </c>
      <c r="F6" s="37" t="inlineStr">
        <is>
          <t>A class with a mix of struggling and thriving students.</t>
        </is>
      </c>
      <c r="G6" s="37" t="inlineStr">
        <is>
          <t>1) Open the at-risk list. 2) Verify flagged students genuinely have low/declining mastery and thriving ones are not flagged.</t>
        </is>
      </c>
      <c r="H6" s="37" t="inlineStr">
        <is>
          <t>At-risk flags correlate with actual low/declining mastery; no obvious false positives/negatives.</t>
        </is>
      </c>
      <c r="I6" s="37" t="inlineStr">
        <is>
          <t>Screenshot + spot-check against mastery</t>
        </is>
      </c>
      <c r="J6" s="43" t="inlineStr">
        <is>
          <t>NOT RUN</t>
        </is>
      </c>
      <c r="K6" s="37" t="inlineStr">
        <is>
          <t>Claude</t>
        </is>
      </c>
      <c r="L6" s="37" t="n"/>
      <c r="M6" s="37" t="n"/>
      <c r="N6" s="37" t="inlineStr">
        <is>
          <t>[T2 | Phase 2 | Claude] repo's own vitest/Playwright suite, run headless</t>
        </is>
      </c>
    </row>
    <row r="7" ht="32.8" customHeight="1" s="29">
      <c r="A7" s="36" t="inlineStr">
        <is>
          <t>TEA-0005</t>
        </is>
      </c>
      <c r="B7" s="54" t="inlineStr">
        <is>
          <t>P1</t>
        </is>
      </c>
      <c r="C7" s="36" t="inlineStr">
        <is>
          <t>Backend</t>
        </is>
      </c>
      <c r="D7" s="36" t="inlineStr">
        <is>
          <t>Teacher↔parent messaging</t>
        </is>
      </c>
      <c r="E7" s="36" t="inlineStr">
        <is>
          <t>If messaging is advertised, it must deliver and be scoped; otherwise fence it.</t>
        </is>
      </c>
      <c r="F7" s="36" t="inlineStr">
        <is>
          <t>A teacher and a linked parent, OR confirmation this is fenced.</t>
        </is>
      </c>
      <c r="G7" s="36" t="inlineStr">
        <is>
          <t>1) Send a message teacher→parent and parent→teacher. 2) Confirm delivery and correct scoping. OR: confirm the feature shows an explicit 'coming soon'.</t>
        </is>
      </c>
      <c r="H7" s="36" t="inlineStr">
        <is>
          <t>Messages deliver to the right party only; OR the feature is cleanly fenced with no blank page.</t>
        </is>
      </c>
      <c r="I7" s="36" t="inlineStr">
        <is>
          <t>Screenshots of delivery or of the fence</t>
        </is>
      </c>
      <c r="J7" s="41" t="inlineStr">
        <is>
          <t>NOT RUN</t>
        </is>
      </c>
      <c r="K7" s="36" t="inlineStr">
        <is>
          <t>Claude</t>
        </is>
      </c>
      <c r="L7" s="36" t="n"/>
      <c r="M7" s="36" t="n"/>
      <c r="N7" s="36" t="inlineStr">
        <is>
          <t>[T2 | Phase 2 | Claude] repo's own vitest/Playwright suite, run headless</t>
        </is>
      </c>
    </row>
    <row r="8" ht="22.35" customHeight="1" s="29">
      <c r="A8" s="37" t="inlineStr">
        <is>
          <t>TEA-0006</t>
        </is>
      </c>
      <c r="B8" s="55" t="inlineStr">
        <is>
          <t>P2</t>
        </is>
      </c>
      <c r="C8" s="37" t="inlineStr">
        <is>
          <t>Frontend</t>
        </is>
      </c>
      <c r="D8" s="37" t="inlineStr">
        <is>
          <t>Assignments &amp; formative flows</t>
        </is>
      </c>
      <c r="E8" s="37" t="inlineStr">
        <is>
          <t>Teachers assign work and run formative checks. These must complete or be fenced.</t>
        </is>
      </c>
      <c r="F8" s="37" t="inlineStr">
        <is>
          <t>A teacher account.</t>
        </is>
      </c>
      <c r="G8" s="37" t="inlineStr">
        <is>
          <t>1) Create an assignment / formative check. 2) Confirm students receive it and results return. OR confirm a clean fence.</t>
        </is>
      </c>
      <c r="H8" s="37" t="inlineStr">
        <is>
          <t>Flow completes end to end, OR is explicitly fenced.</t>
        </is>
      </c>
      <c r="I8" s="37" t="inlineStr">
        <is>
          <t>Screenshots</t>
        </is>
      </c>
      <c r="J8" s="43" t="inlineStr">
        <is>
          <t>NOT RUN</t>
        </is>
      </c>
      <c r="K8" s="37" t="inlineStr">
        <is>
          <t>Claude</t>
        </is>
      </c>
      <c r="L8" s="37" t="n"/>
      <c r="M8" s="37" t="n"/>
      <c r="N8" s="37" t="inlineStr">
        <is>
          <t>[T2 | Phase 2 | Claude] repo's own vitest/Playwright suite, run headless</t>
        </is>
      </c>
    </row>
  </sheetData>
  <autoFilter ref="A2:N8"/>
  <mergeCells count="1">
    <mergeCell ref="A1:N1"/>
  </mergeCells>
  <conditionalFormatting sqref="J3:J8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8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08 · School Admin Vertical (B2B)   —   8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22.35" customHeight="1" s="29">
      <c r="A3" s="36" t="inlineStr">
        <is>
          <t>SCH-0001</t>
        </is>
      </c>
      <c r="B3" s="54" t="inlineStr">
        <is>
          <t>P1</t>
        </is>
      </c>
      <c r="C3" s="36" t="inlineStr">
        <is>
          <t>Backend</t>
        </is>
      </c>
      <c r="D3" s="36" t="inlineStr">
        <is>
          <t>School claim/onboarding</t>
        </is>
      </c>
      <c r="E3" s="36" t="inlineStr">
        <is>
          <t>Schools onboard via a claim token. A broken/guessable claim lets the wrong person control a school.</t>
        </is>
      </c>
      <c r="F3" s="36" t="inlineStr">
        <is>
          <t>A valid school claim token (and an invalid one).</t>
        </is>
      </c>
      <c r="G3" s="36" t="inlineStr">
        <is>
          <t>1) Claim a school with a valid token. 2) Attempt with an invalid/expired/used token. 3) Confirm control is granted only on the valid, unused token.</t>
        </is>
      </c>
      <c r="H3" s="36" t="inlineStr">
        <is>
          <t>Valid token grants admin; invalid/expired/used tokens rejected; token is single-use.</t>
        </is>
      </c>
      <c r="I3" s="36" t="inlineStr">
        <is>
          <t>Screenshots + token state SQL</t>
        </is>
      </c>
      <c r="J3" s="41" t="inlineStr">
        <is>
          <t>NOT RUN</t>
        </is>
      </c>
      <c r="K3" s="36" t="inlineStr">
        <is>
          <t>Claude</t>
        </is>
      </c>
      <c r="L3" s="36" t="n"/>
      <c r="M3" s="36" t="n"/>
      <c r="N3" s="36" t="inlineStr">
        <is>
          <t>[T2 | Phase 2 | Claude] repo's own vitest/Playwright suite, run headless</t>
        </is>
      </c>
    </row>
    <row r="4" ht="32.8" customHeight="1" s="29">
      <c r="A4" s="37" t="inlineStr">
        <is>
          <t>SCH-0002</t>
        </is>
      </c>
      <c r="B4" s="53" t="inlineStr">
        <is>
          <t>P0</t>
        </is>
      </c>
      <c r="C4" s="37" t="inlineStr">
        <is>
          <t>Backend</t>
        </is>
      </c>
      <c r="D4" s="37" t="inlineStr">
        <is>
          <t>Seat capacity is enforced (over-cap rejected)</t>
        </is>
      </c>
      <c r="E4" s="37" t="inlineStr">
        <is>
          <t>Seats are what the school pays for. If enrollment can exceed the cap, revenue leaks and the pricing model breaks.</t>
        </is>
      </c>
      <c r="F4" s="37" t="inlineStr">
        <is>
          <t>A test school with a small seat cap (e.g. 10) at capacity.</t>
        </is>
      </c>
      <c r="G4" s="37" t="inlineStr">
        <is>
          <t>1) Fill the school to its seat cap. 2) Attempt to enroll one more student. 3) Confirm assert_seat_capacity rejects it. 4) Check school_seat_usage is accurate.</t>
        </is>
      </c>
      <c r="H4" s="37" t="inlineStr">
        <is>
          <t>The over-capacity enrollment is REJECTED with a clear message; seat usage never exceeds the cap.</t>
        </is>
      </c>
      <c r="I4" s="37" t="inlineStr">
        <is>
          <t>Screenshot of rejection + seat_usage SQL</t>
        </is>
      </c>
      <c r="J4" s="43" t="inlineStr">
        <is>
          <t>NOT RUN</t>
        </is>
      </c>
      <c r="K4" s="37" t="inlineStr">
        <is>
          <t>Claude</t>
        </is>
      </c>
      <c r="L4" s="37" t="n"/>
      <c r="M4" s="37" t="n"/>
      <c r="N4" s="37" t="inlineStr">
        <is>
          <t>[T2 | Phase 2 | Claude] repo's own vitest/Playwright suite, run headless</t>
        </is>
      </c>
    </row>
    <row r="5" ht="22.35" customHeight="1" s="29">
      <c r="A5" s="36" t="inlineStr">
        <is>
          <t>SCH-0003</t>
        </is>
      </c>
      <c r="B5" s="54" t="inlineStr">
        <is>
          <t>P1</t>
        </is>
      </c>
      <c r="C5" s="36" t="inlineStr">
        <is>
          <t>Backend</t>
        </is>
      </c>
      <c r="D5" s="36" t="inlineStr">
        <is>
          <t>Invites (staff &amp; students)</t>
        </is>
      </c>
      <c r="E5" s="36" t="inlineStr">
        <is>
          <t>Bulk onboarding depends on invites working and being scoped to the school.</t>
        </is>
      </c>
      <c r="F5" s="36" t="inlineStr">
        <is>
          <t>A school admin account.</t>
        </is>
      </c>
      <c r="G5" s="36" t="inlineStr">
        <is>
          <t>1) Invite a teacher and a student. 2) Accept both. 3) Confirm they attach to the correct school only.</t>
        </is>
      </c>
      <c r="H5" s="36" t="inlineStr">
        <is>
          <t>Invitees join the correct school; cannot be attached to another school; roles correct.</t>
        </is>
      </c>
      <c r="I5" s="36" t="inlineStr">
        <is>
          <t>Screenshots + SQL</t>
        </is>
      </c>
      <c r="J5" s="41" t="inlineStr">
        <is>
          <t>NOT RUN</t>
        </is>
      </c>
      <c r="K5" s="36" t="inlineStr">
        <is>
          <t>Claude</t>
        </is>
      </c>
      <c r="L5" s="36" t="n"/>
      <c r="M5" s="36" t="n"/>
      <c r="N5" s="36" t="inlineStr">
        <is>
          <t>[T2 | Phase 2 | Claude] repo's own vitest/Playwright suite, run headless</t>
        </is>
      </c>
    </row>
    <row r="6" ht="32.8" customHeight="1" s="29">
      <c r="A6" s="37" t="inlineStr">
        <is>
          <t>SCH-0004</t>
        </is>
      </c>
      <c r="B6" s="53" t="inlineStr">
        <is>
          <t>P0</t>
        </is>
      </c>
      <c r="C6" s="37" t="inlineStr">
        <is>
          <t>Backend</t>
        </is>
      </c>
      <c r="D6" s="37" t="inlineStr">
        <is>
          <t>Offline billing needs TWO-admin approval</t>
        </is>
      </c>
      <c r="E6" s="37" t="inlineStr">
        <is>
          <t>The offline PO/cheque path moves money without Razorpay. A single-admin approval is a fraud/control gap.</t>
        </is>
      </c>
      <c r="F6" s="37" t="inlineStr">
        <is>
          <t>A test school and two admin accounts.</t>
        </is>
      </c>
      <c r="G6" s="37" t="inlineStr">
        <is>
          <t>1) Submit an offline payment to payment_reconciliation_queue. 2) Approve as admin 1 only — confirm NOT activated. 3) Approve as admin 2 — confirm activation.</t>
        </is>
      </c>
      <c r="H6" s="37" t="inlineStr">
        <is>
          <t>Activation requires two distinct admin approvals; one approval alone does nothing.</t>
        </is>
      </c>
      <c r="I6" s="37" t="inlineStr">
        <is>
          <t>Screenshots of both approval states + queue SQL</t>
        </is>
      </c>
      <c r="J6" s="43" t="inlineStr">
        <is>
          <t>NOT RUN</t>
        </is>
      </c>
      <c r="K6" s="37" t="inlineStr">
        <is>
          <t>Claude</t>
        </is>
      </c>
      <c r="L6" s="37" t="n"/>
      <c r="M6" s="37" t="n"/>
      <c r="N6" s="37" t="inlineStr">
        <is>
          <t>[T2 | Phase 2 | Claude] repo's own vitest/Playwright suite, run headless</t>
        </is>
      </c>
    </row>
    <row r="7" ht="43.25" customHeight="1" s="29">
      <c r="A7" s="36" t="inlineStr">
        <is>
          <t>SCH-0005</t>
        </is>
      </c>
      <c r="B7" s="54" t="inlineStr">
        <is>
          <t>P1</t>
        </is>
      </c>
      <c r="C7" s="36" t="inlineStr">
        <is>
          <t>Backend</t>
        </is>
      </c>
      <c r="D7" s="36" t="inlineStr">
        <is>
          <t>GST invoice correctness</t>
        </is>
      </c>
      <c r="E7" s="36" t="inlineStr">
        <is>
          <t>Wrong GST/invoice data is a compliance and finance problem. Numbers must be real and sequenced, never invented.</t>
        </is>
      </c>
      <c r="F7" s="36" t="inlineStr">
        <is>
          <t>Finance-seeded GSTINs OR the decision to launch on the offline path.</t>
        </is>
      </c>
      <c r="G7" s="36" t="inlineStr">
        <is>
          <t>1) If online GST launches: generate an invoice; confirm supplier GSTIN, school GST, sequenced invoice number, and tax are correct and real (not placeholder). 2) If offline path chosen: confirm online GST invoicing is cleanly unavailable/fenced.</t>
        </is>
      </c>
      <c r="H7" s="36" t="inlineStr">
        <is>
          <t>Invoice fields are real and correctly sequenced; OR the online path is fenced and offline is the sole route, per the F5 decision.</t>
        </is>
      </c>
      <c r="I7" s="36" t="inlineStr">
        <is>
          <t>Invoice PDF + SQL of gst/sequence tables</t>
        </is>
      </c>
      <c r="J7" s="41" t="inlineStr">
        <is>
          <t>NOT RUN</t>
        </is>
      </c>
      <c r="K7" s="36" t="inlineStr">
        <is>
          <t>Claude</t>
        </is>
      </c>
      <c r="L7" s="36" t="n"/>
      <c r="M7" s="36" t="n"/>
      <c r="N7" s="36" t="inlineStr">
        <is>
          <t>[T2 | Phase 2 | Claude] repo's own vitest/Playwright suite, run headless</t>
        </is>
      </c>
    </row>
    <row r="8" ht="22.35" customHeight="1" s="29">
      <c r="A8" s="37" t="inlineStr">
        <is>
          <t>SCH-0006</t>
        </is>
      </c>
      <c r="B8" s="54" t="inlineStr">
        <is>
          <t>P1</t>
        </is>
      </c>
      <c r="C8" s="37" t="inlineStr">
        <is>
          <t>Backend</t>
        </is>
      </c>
      <c r="D8" s="37" t="inlineStr">
        <is>
          <t>Entitlement propagates to school students</t>
        </is>
      </c>
      <c r="E8" s="37" t="inlineStr">
        <is>
          <t>After a school pays, every student under it must get access. If not, the school's whole cohort is blocked.</t>
        </is>
      </c>
      <c r="F8" s="37" t="inlineStr">
        <is>
          <t>A paid/activated school with enrolled students.</t>
        </is>
      </c>
      <c r="G8" s="37" t="inlineStr">
        <is>
          <t>1) Activate the school. 2) As a student under it, confirm entitled content is accessible immediately.</t>
        </is>
      </c>
      <c r="H8" s="37" t="inlineStr">
        <is>
          <t>All students under the activated school see entitled content right away.</t>
        </is>
      </c>
      <c r="I8" s="37" t="inlineStr">
        <is>
          <t>Student-side screenshot + entitlement SQL</t>
        </is>
      </c>
      <c r="J8" s="43" t="inlineStr">
        <is>
          <t>NOT RUN</t>
        </is>
      </c>
      <c r="K8" s="37" t="inlineStr">
        <is>
          <t>Claude</t>
        </is>
      </c>
      <c r="L8" s="37" t="n"/>
      <c r="M8" s="37" t="n"/>
      <c r="N8" s="37" t="inlineStr">
        <is>
          <t>[T2 | Phase 2 | Claude] repo's own vitest/Playwright suite, run headless</t>
        </is>
      </c>
    </row>
    <row r="9" ht="22.35" customHeight="1" s="29">
      <c r="A9" s="36" t="inlineStr">
        <is>
          <t>SCH-0007</t>
        </is>
      </c>
      <c r="B9" s="55" t="inlineStr">
        <is>
          <t>P2</t>
        </is>
      </c>
      <c r="C9" s="36" t="inlineStr">
        <is>
          <t>Backend</t>
        </is>
      </c>
      <c r="D9" s="36" t="inlineStr">
        <is>
          <t>Lapsed school revokes access</t>
        </is>
      </c>
      <c r="E9" s="36" t="inlineStr">
        <is>
          <t>When a school's subscription lapses, its students should lose paid content — otherwise revenue leaks.</t>
        </is>
      </c>
      <c r="F9" s="36" t="inlineStr">
        <is>
          <t>A school whose subscription can be expired in staging.</t>
        </is>
      </c>
      <c r="G9" s="36" t="inlineStr">
        <is>
          <t>1) Expire the school subscription. 2) Confirm students lose paid entitlements.</t>
        </is>
      </c>
      <c r="H9" s="36" t="inlineStr">
        <is>
          <t>Lapsed school → students lose paid access cleanly (with an appropriate message).</t>
        </is>
      </c>
      <c r="I9" s="36" t="inlineStr">
        <is>
          <t>Before/after student access</t>
        </is>
      </c>
      <c r="J9" s="41" t="inlineStr">
        <is>
          <t>NOT RUN</t>
        </is>
      </c>
      <c r="K9" s="36" t="inlineStr">
        <is>
          <t>Claude</t>
        </is>
      </c>
      <c r="L9" s="36" t="n"/>
      <c r="M9" s="36" t="n"/>
      <c r="N9" s="36" t="inlineStr">
        <is>
          <t>[T2 | Phase 2 | Claude] repo's own vitest/Playwright suite, run headless</t>
        </is>
      </c>
    </row>
    <row r="10" ht="22.35" customHeight="1" s="29">
      <c r="A10" s="37" t="inlineStr">
        <is>
          <t>SCH-0008</t>
        </is>
      </c>
      <c r="B10" s="55" t="inlineStr">
        <is>
          <t>P2</t>
        </is>
      </c>
      <c r="C10" s="37" t="inlineStr">
        <is>
          <t>Frontend</t>
        </is>
      </c>
      <c r="D10" s="37" t="inlineStr">
        <is>
          <t>School announcements &amp; exams</t>
        </is>
      </c>
      <c r="E10" s="37" t="inlineStr">
        <is>
          <t>Advertised school features must work or be fenced.</t>
        </is>
      </c>
      <c r="F10" s="37" t="inlineStr">
        <is>
          <t>A school admin.</t>
        </is>
      </c>
      <c r="G10" s="37" t="inlineStr">
        <is>
          <t>1) Post an announcement / create a school exam. 2) Confirm students see it. OR confirm a clean fence.</t>
        </is>
      </c>
      <c r="H10" s="37" t="inlineStr">
        <is>
          <t>Feature completes end-to-end OR is explicitly fenced.</t>
        </is>
      </c>
      <c r="I10" s="37" t="inlineStr">
        <is>
          <t>Screenshots</t>
        </is>
      </c>
      <c r="J10" s="43" t="inlineStr">
        <is>
          <t>NOT RUN</t>
        </is>
      </c>
      <c r="K10" s="37" t="inlineStr">
        <is>
          <t>Claude</t>
        </is>
      </c>
      <c r="L10" s="37" t="n"/>
      <c r="M10" s="37" t="n"/>
      <c r="N10" s="37" t="inlineStr">
        <is>
          <t>[T2 | Phase 2 | Claude] repo's own vitest/Playwright suite, run headless</t>
        </is>
      </c>
    </row>
  </sheetData>
  <autoFilter ref="A2:N10"/>
  <mergeCells count="1">
    <mergeCell ref="A1:N1"/>
  </mergeCells>
  <conditionalFormatting sqref="J3:J10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10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N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09 · Super Admin Console   —   5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32.8" customHeight="1" s="29">
      <c r="A3" s="36" t="inlineStr">
        <is>
          <t>SUP-0001</t>
        </is>
      </c>
      <c r="B3" s="53" t="inlineStr">
        <is>
          <t>P0</t>
        </is>
      </c>
      <c r="C3" s="36" t="inlineStr">
        <is>
          <t>Backend</t>
        </is>
      </c>
      <c r="D3" s="36" t="inlineStr">
        <is>
          <t>Impersonation is always audit-logged</t>
        </is>
      </c>
      <c r="E3" s="36" t="inlineStr">
        <is>
          <t>View-as is powerful and dangerous. Every use MUST leave an audit trail, or an insider can view any user invisibly.</t>
        </is>
      </c>
      <c r="F3" s="36" t="inlineStr">
        <is>
          <t>A super admin and a target test user.</t>
        </is>
      </c>
      <c r="G3" s="36" t="inlineStr">
        <is>
          <t>1) Impersonate the test user. 2) Immediately query audit_logs for the impersonation entry (who, whom, when). 3) Confirm the session is scoped and ends cleanly.</t>
        </is>
      </c>
      <c r="H3" s="36" t="inlineStr">
        <is>
          <t>Every impersonation writes an audit_logs row with actor, target, timestamp; the impersonation session is bounded.</t>
        </is>
      </c>
      <c r="I3" s="36" t="inlineStr">
        <is>
          <t>Audit_logs SQL row + screenshot</t>
        </is>
      </c>
      <c r="J3" s="41" t="inlineStr">
        <is>
          <t>NOT RUN</t>
        </is>
      </c>
      <c r="K3" s="36" t="inlineStr">
        <is>
          <t>Claude</t>
        </is>
      </c>
      <c r="L3" s="36" t="n"/>
      <c r="M3" s="36" t="n"/>
      <c r="N3" s="36" t="inlineStr">
        <is>
          <t>[T2 | Phase 2 | Claude] repo's own vitest/Playwright suite, run headless</t>
        </is>
      </c>
    </row>
    <row r="4" ht="22.35" customHeight="1" s="29">
      <c r="A4" s="37" t="inlineStr">
        <is>
          <t>SUP-0002</t>
        </is>
      </c>
      <c r="B4" s="53" t="inlineStr">
        <is>
          <t>P0</t>
        </is>
      </c>
      <c r="C4" s="37" t="inlineStr">
        <is>
          <t>Backend</t>
        </is>
      </c>
      <c r="D4" s="37" t="inlineStr">
        <is>
          <t>Only super admins reach super-admin routes</t>
        </is>
      </c>
      <c r="E4" s="37" t="inlineStr">
        <is>
          <t>If any lower role reaches the console, the whole RBAC model is void.</t>
        </is>
      </c>
      <c r="F4" s="37" t="inlineStr">
        <is>
          <t>Accounts for every non-super role.</t>
        </is>
      </c>
      <c r="G4" s="37" t="inlineStr">
        <is>
          <t>1) As each non-super role, attempt to open several super-admin routes directly by URL. 2) Observe.</t>
        </is>
      </c>
      <c r="H4" s="37" t="inlineStr">
        <is>
          <t>Every non-super role is denied with a structured error; none can view any super-admin surface.</t>
        </is>
      </c>
      <c r="I4" s="37" t="inlineStr">
        <is>
          <t>Denied-access captures per role</t>
        </is>
      </c>
      <c r="J4" s="43" t="inlineStr">
        <is>
          <t>NOT RUN</t>
        </is>
      </c>
      <c r="K4" s="37" t="inlineStr">
        <is>
          <t>Claude</t>
        </is>
      </c>
      <c r="L4" s="37" t="n"/>
      <c r="M4" s="37" t="n"/>
      <c r="N4" s="37" t="inlineStr">
        <is>
          <t>[T2 | Phase 2 | Claude] repo's own vitest/Playwright suite, run headless</t>
        </is>
      </c>
    </row>
    <row r="5" ht="22.35" customHeight="1" s="29">
      <c r="A5" s="36" t="inlineStr">
        <is>
          <t>SUP-0003</t>
        </is>
      </c>
      <c r="B5" s="54" t="inlineStr">
        <is>
          <t>P1</t>
        </is>
      </c>
      <c r="C5" s="36" t="inlineStr">
        <is>
          <t>Backend+DB</t>
        </is>
      </c>
      <c r="D5" s="36" t="inlineStr">
        <is>
          <t>AI cost dashboard matches raw logs</t>
        </is>
      </c>
      <c r="E5" s="36" t="inlineStr">
        <is>
          <t>Cost control depends on accurate numbers. If the dashboard disagrees with mol_request_logs, budgeting is blind.</t>
        </is>
      </c>
      <c r="F5" s="36" t="inlineStr">
        <is>
          <t>Recent AI usage exists.</t>
        </is>
      </c>
      <c r="G5" s="36" t="inlineStr">
        <is>
          <t>1) Read total spend/tokens from the cost dashboard for a period. 2) Compute the same from mol_request_logs × model_pricing. 3) Compare.</t>
        </is>
      </c>
      <c r="H5" s="36" t="inlineStr">
        <is>
          <t>Dashboard totals reconcile with the raw request logs within rounding.</t>
        </is>
      </c>
      <c r="I5" s="36" t="inlineStr">
        <is>
          <t>Dashboard screenshot + SQL total</t>
        </is>
      </c>
      <c r="J5" s="41" t="inlineStr">
        <is>
          <t>NOT RUN</t>
        </is>
      </c>
      <c r="K5" s="36" t="inlineStr">
        <is>
          <t>Claude</t>
        </is>
      </c>
      <c r="L5" s="36" t="n"/>
      <c r="M5" s="36" t="n"/>
      <c r="N5" s="36" t="inlineStr">
        <is>
          <t>[T2 | Phase 2 | Claude] repo's own vitest/Playwright suite, run headless</t>
        </is>
      </c>
    </row>
    <row r="6" ht="22.35" customHeight="1" s="29">
      <c r="A6" s="37" t="inlineStr">
        <is>
          <t>SUP-0004</t>
        </is>
      </c>
      <c r="B6" s="54" t="inlineStr">
        <is>
          <t>P1</t>
        </is>
      </c>
      <c r="C6" s="37" t="inlineStr">
        <is>
          <t>Backend</t>
        </is>
      </c>
      <c r="D6" s="37" t="inlineStr">
        <is>
          <t>Brute-force lockout on admin login</t>
        </is>
      </c>
      <c r="E6" s="37" t="inlineStr">
        <is>
          <t>Admin accounts are high-value. Repeated failures must lock out to stop credential stuffing.</t>
        </is>
      </c>
      <c r="F6" s="37" t="inlineStr">
        <is>
          <t>An admin login page and a test admin account.</t>
        </is>
      </c>
      <c r="G6" s="37" t="inlineStr">
        <is>
          <t>1) Submit repeated wrong passwords past the threshold. 2) Observe lockout. 3) Confirm admin_login_attempts records them.</t>
        </is>
      </c>
      <c r="H6" s="37" t="inlineStr">
        <is>
          <t>Account/IP is locked after the threshold; attempts logged; legitimate login blocked during lockout.</t>
        </is>
      </c>
      <c r="I6" s="37" t="inlineStr">
        <is>
          <t>Screenshots + admin_login_attempts SQL</t>
        </is>
      </c>
      <c r="J6" s="43" t="inlineStr">
        <is>
          <t>NOT RUN</t>
        </is>
      </c>
      <c r="K6" s="37" t="inlineStr">
        <is>
          <t>Claude</t>
        </is>
      </c>
      <c r="L6" s="37" t="n"/>
      <c r="M6" s="37" t="n"/>
      <c r="N6" s="37" t="inlineStr">
        <is>
          <t>[T2 | Phase 2 | Claude] repo's own vitest/Playwright suite, run headless</t>
        </is>
      </c>
    </row>
    <row r="7" ht="22.35" customHeight="1" s="29">
      <c r="A7" s="36" t="inlineStr">
        <is>
          <t>SUP-0005</t>
        </is>
      </c>
      <c r="B7" s="54" t="inlineStr">
        <is>
          <t>P1</t>
        </is>
      </c>
      <c r="C7" s="36" t="inlineStr">
        <is>
          <t>Backend</t>
        </is>
      </c>
      <c r="D7" s="36" t="inlineStr">
        <is>
          <t>Observability surfaces real system state</t>
        </is>
      </c>
      <c r="E7" s="36" t="inlineStr">
        <is>
          <t>The console must reflect reality (ops_events, metrics), or operators fly blind during incidents.</t>
        </is>
      </c>
      <c r="F7" s="36" t="inlineStr">
        <is>
          <t>Super admin access.</t>
        </is>
      </c>
      <c r="G7" s="36" t="inlineStr">
        <is>
          <t>1) Trigger a known event (e.g. a failed job in staging). 2) Confirm it appears in the observability UI.</t>
        </is>
      </c>
      <c r="H7" s="36" t="inlineStr">
        <is>
          <t>Real events/metrics surface accurately and promptly.</t>
        </is>
      </c>
      <c r="I7" s="36" t="inlineStr">
        <is>
          <t>Screenshot correlated to the triggered event</t>
        </is>
      </c>
      <c r="J7" s="41" t="inlineStr">
        <is>
          <t>NOT RUN</t>
        </is>
      </c>
      <c r="K7" s="36" t="inlineStr">
        <is>
          <t>Claude</t>
        </is>
      </c>
      <c r="L7" s="36" t="n"/>
      <c r="M7" s="36" t="n"/>
      <c r="N7" s="36" t="inlineStr">
        <is>
          <t>[T2 | Phase 2 | Claude] repo's own vitest/Playwright suite, run headless</t>
        </is>
      </c>
    </row>
  </sheetData>
  <autoFilter ref="A2:N7"/>
  <mergeCells count="1">
    <mergeCell ref="A1:N1"/>
  </mergeCells>
  <conditionalFormatting sqref="J3:J7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7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N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10 · Payments (Razorpay) — D2C &amp; B2B   —   8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43.25" customHeight="1" s="29">
      <c r="A3" s="36" t="inlineStr">
        <is>
          <t>PAY-0001</t>
        </is>
      </c>
      <c r="B3" s="53" t="inlineStr">
        <is>
          <t>P0</t>
        </is>
      </c>
      <c r="C3" s="36" t="inlineStr">
        <is>
          <t>Full-stack</t>
        </is>
      </c>
      <c r="D3" s="36" t="inlineStr">
        <is>
          <t>Live ₹ transaction end-to-end (D2C)</t>
        </is>
      </c>
      <c r="E3" s="36" t="inlineStr">
        <is>
          <t>Revenue is existential and the webhook path had ZERO real executions before launch. One real payment must flow all the way to entitlement.</t>
        </is>
      </c>
      <c r="F3" s="36" t="inlineStr">
        <is>
          <t>Razorpay LIVE keys; a small real ₹ amount; a test purchaser account.</t>
        </is>
      </c>
      <c r="G3" s="36" t="inlineStr">
        <is>
          <t>1) Buy a plan with a real small ₹ amount. 2) Complete Razorpay checkout. 3) Confirm the webhook fires, signature verifies, payment_history + student_subscriptions rows appear, and entitlement/quota is granted. 4) Confirm the student sees paid content immediately.</t>
        </is>
      </c>
      <c r="H3" s="36" t="inlineStr">
        <is>
          <t>The full chain completes for a real payment; entitlement is live immediately.</t>
        </is>
      </c>
      <c r="I3" s="36" t="inlineStr">
        <is>
          <t>Screen recording of purchase + SQL of resulting rows</t>
        </is>
      </c>
      <c r="J3" s="41" t="inlineStr">
        <is>
          <t>NOT RUN</t>
        </is>
      </c>
      <c r="K3" s="36" t="inlineStr">
        <is>
          <t>Human</t>
        </is>
      </c>
      <c r="L3" s="36" t="n"/>
      <c r="M3" s="36" t="n"/>
      <c r="N3" s="36" t="inlineStr">
        <is>
          <t>[T5 | Phase 5 | Human] human-executed (real money/device/inbox). awaiting human executor (LIVE keys / physical device / real inbox)</t>
        </is>
      </c>
    </row>
    <row r="4" ht="22.35" customHeight="1" s="29">
      <c r="A4" s="37" t="inlineStr">
        <is>
          <t>PAY-0002</t>
        </is>
      </c>
      <c r="B4" s="53" t="inlineStr">
        <is>
          <t>P0</t>
        </is>
      </c>
      <c r="C4" s="37" t="inlineStr">
        <is>
          <t>Backend</t>
        </is>
      </c>
      <c r="D4" s="37" t="inlineStr">
        <is>
          <t>₹ identical across UI, DB, and Razorpay</t>
        </is>
      </c>
      <c r="E4" s="37" t="inlineStr">
        <is>
          <t>Any mismatch between what the user sees, what's stored, and what Razorpay charges is a finance/trust disaster.</t>
        </is>
      </c>
      <c r="F4" s="37" t="inlineStr">
        <is>
          <t>The live test transaction above.</t>
        </is>
      </c>
      <c r="G4" s="37" t="inlineStr">
        <is>
          <t>1) Record the ₹ amount shown in the UI. 2) Record amount_paise in the DB. 3) Record the amount in the Razorpay dashboard. 4) Compare all three.</t>
        </is>
      </c>
      <c r="H4" s="37" t="inlineStr">
        <is>
          <t>All three amounts are identical (paise↔₹ correct); screenshot all three.</t>
        </is>
      </c>
      <c r="I4" s="37" t="inlineStr">
        <is>
          <t>Three screenshots: UI, DB, Razorpay</t>
        </is>
      </c>
      <c r="J4" s="43" t="inlineStr">
        <is>
          <t>NOT RUN</t>
        </is>
      </c>
      <c r="K4" s="37" t="inlineStr">
        <is>
          <t>Human</t>
        </is>
      </c>
      <c r="L4" s="37" t="n"/>
      <c r="M4" s="37" t="n"/>
      <c r="N4" s="37" t="inlineStr">
        <is>
          <t>[T5 | Phase 5 | Human] human-executed (real money/device/inbox). awaiting human executor (LIVE keys / physical device / real inbox)</t>
        </is>
      </c>
    </row>
    <row r="5" ht="22.35" customHeight="1" s="29">
      <c r="A5" s="36" t="inlineStr">
        <is>
          <t>PAY-0003</t>
        </is>
      </c>
      <c r="B5" s="53" t="inlineStr">
        <is>
          <t>P0</t>
        </is>
      </c>
      <c r="C5" s="36" t="inlineStr">
        <is>
          <t>Backend</t>
        </is>
      </c>
      <c r="D5" s="36" t="inlineStr">
        <is>
          <t>Webhook signature verified FIRST</t>
        </is>
      </c>
      <c r="E5" s="36" t="inlineStr">
        <is>
          <t>An unsigned/forged webhook that grants entitlement is straight-up fraud. Signature verification must precede any state change.</t>
        </is>
      </c>
      <c r="F5" s="36" t="inlineStr">
        <is>
          <t>Ability to send a crafted webhook to the endpoint (staging).</t>
        </is>
      </c>
      <c r="G5" s="36" t="inlineStr">
        <is>
          <t>1) Send a webhook with a bad/missing signature. 2) Confirm it is rejected before any DB write. 3) Send a validly signed one and confirm it processes.</t>
        </is>
      </c>
      <c r="H5" s="36" t="inlineStr">
        <is>
          <t>Invalid-signature webhook rejected with no side effects; only valid-signature webhooks mutate state.</t>
        </is>
      </c>
      <c r="I5" s="36" t="inlineStr">
        <is>
          <t>Request/response capture of both</t>
        </is>
      </c>
      <c r="J5" s="41" t="inlineStr">
        <is>
          <t>PASS</t>
        </is>
      </c>
      <c r="K5" s="36" t="inlineStr">
        <is>
          <t>Claude (T2 auto)</t>
        </is>
      </c>
      <c r="L5" s="36" t="inlineStr">
        <is>
          <t>2026-08-04</t>
        </is>
      </c>
      <c r="M5" s="36" t="n"/>
      <c r="N5" s="36" t="inlineStr">
        <is>
          <t>PASS via repo suite: api/payments/verify-hmac-reject.test.ts (bad/absent signature rejected before any entitlement). Evidence: evidence/T2_certified_rows_testlog.txt.</t>
        </is>
      </c>
    </row>
    <row r="6" ht="22.35" customHeight="1" s="29">
      <c r="A6" s="37" t="inlineStr">
        <is>
          <t>PAY-0004</t>
        </is>
      </c>
      <c r="B6" s="53" t="inlineStr">
        <is>
          <t>P0</t>
        </is>
      </c>
      <c r="C6" s="37" t="inlineStr">
        <is>
          <t>Backend</t>
        </is>
      </c>
      <c r="D6" s="37" t="inlineStr">
        <is>
          <t>Webhook replay is a no-op (idempotency)</t>
        </is>
      </c>
      <c r="E6" s="37" t="inlineStr">
        <is>
          <t>Razorpay can deliver the same event twice. A replay must not double-grant a subscription or double-credit quota.</t>
        </is>
      </c>
      <c r="F6" s="37" t="inlineStr">
        <is>
          <t>A processed webhook event captured.</t>
        </is>
      </c>
      <c r="G6" s="37" t="inlineStr">
        <is>
          <t>1) Process a webhook normally. 2) Re-deliver the exact same event (same event_id). 3) Check payment_webhook_events, subscriptions, quota.</t>
        </is>
      </c>
      <c r="H6" s="37" t="inlineStr">
        <is>
          <t>The redelivery hits the unique (account_id,event_id) key and no-ops; no duplicate subscription or quota grant.</t>
        </is>
      </c>
      <c r="I6" s="37" t="inlineStr">
        <is>
          <t>SQL before/after showing no duplication</t>
        </is>
      </c>
      <c r="J6" s="43" t="inlineStr">
        <is>
          <t>PASS</t>
        </is>
      </c>
      <c r="K6" s="37" t="inlineStr">
        <is>
          <t>Claude (T2 auto)</t>
        </is>
      </c>
      <c r="L6" s="37" t="inlineStr">
        <is>
          <t>2026-08-04</t>
        </is>
      </c>
      <c r="M6" s="37" t="n"/>
      <c r="N6" s="37" t="inlineStr">
        <is>
          <t>PASS via repo suite: payments/webhook-retry-and-dedupe-semantics.test.ts + webhook-concurrent-fire.test.ts (replayed/duplicate event id -&gt; exactly one activation, no double-grant). Evidence: evidence/T2_certified_rows_testlog.txt.</t>
        </is>
      </c>
    </row>
    <row r="7" ht="32.8" customHeight="1" s="29">
      <c r="A7" s="36" t="inlineStr">
        <is>
          <t>PAY-0005</t>
        </is>
      </c>
      <c r="B7" s="54" t="inlineStr">
        <is>
          <t>P1</t>
        </is>
      </c>
      <c r="C7" s="36" t="inlineStr">
        <is>
          <t>Backend</t>
        </is>
      </c>
      <c r="D7" s="36" t="inlineStr">
        <is>
          <t>Exactly one webhook URL registered (Vercel)</t>
        </is>
      </c>
      <c r="E7" s="36" t="inlineStr">
        <is>
          <t>A webhook registered on both hosts double-processes every payment (dual-host rule). This must be verified in the provider dashboard itself.</t>
        </is>
      </c>
      <c r="F7" s="36" t="inlineStr">
        <is>
          <t>Access to the Razorpay dashboard.</t>
        </is>
      </c>
      <c r="G7" s="36" t="inlineStr">
        <is>
          <t>1) Open Razorpay webhook settings. 2) List registered callback URLs. 3) Confirm exactly one, pointing at the Vercel host.</t>
        </is>
      </c>
      <c r="H7" s="36" t="inlineStr">
        <is>
          <t>Exactly one callback URL registered, on Vercel; none on Fargate.</t>
        </is>
      </c>
      <c r="I7" s="36" t="inlineStr">
        <is>
          <t>Razorpay dashboard screenshot</t>
        </is>
      </c>
      <c r="J7" s="41" t="inlineStr">
        <is>
          <t>NOT RUN</t>
        </is>
      </c>
      <c r="K7" s="36" t="inlineStr">
        <is>
          <t>Human</t>
        </is>
      </c>
      <c r="L7" s="36" t="n"/>
      <c r="M7" s="36" t="n"/>
      <c r="N7" s="36" t="inlineStr">
        <is>
          <t>[T5 | Phase 5 | Human] human-executed (real money/device/inbox). awaiting human executor (LIVE keys / physical device / real inbox)</t>
        </is>
      </c>
    </row>
    <row r="8" ht="22.35" customHeight="1" s="29">
      <c r="A8" s="37" t="inlineStr">
        <is>
          <t>PAY-0006</t>
        </is>
      </c>
      <c r="B8" s="54" t="inlineStr">
        <is>
          <t>P1</t>
        </is>
      </c>
      <c r="C8" s="37" t="inlineStr">
        <is>
          <t>Backend</t>
        </is>
      </c>
      <c r="D8" s="37" t="inlineStr">
        <is>
          <t>Refund path</t>
        </is>
      </c>
      <c r="E8" s="37" t="inlineStr">
        <is>
          <t>Refunds must transition status and adjust entitlement predictably, or support and finance diverge.</t>
        </is>
      </c>
      <c r="F8" s="37" t="inlineStr">
        <is>
          <t>A completed test payment that can be refunded.</t>
        </is>
      </c>
      <c r="G8" s="37" t="inlineStr">
        <is>
          <t>1) Issue a refund. 2) Confirm status transition and the stated entitlement behavior. 3) Confirm the student's access reflects it.</t>
        </is>
      </c>
      <c r="H8" s="37" t="inlineStr">
        <is>
          <t>Refund transitions cleanly; entitlement behaves exactly as specified; amounts reconcile.</t>
        </is>
      </c>
      <c r="I8" s="37" t="inlineStr">
        <is>
          <t>Screenshots + SQL</t>
        </is>
      </c>
      <c r="J8" s="43" t="inlineStr">
        <is>
          <t>NOT RUN</t>
        </is>
      </c>
      <c r="K8" s="37" t="inlineStr">
        <is>
          <t>Human</t>
        </is>
      </c>
      <c r="L8" s="37" t="n"/>
      <c r="M8" s="37" t="n"/>
      <c r="N8" s="37" t="inlineStr">
        <is>
          <t>[T5 | Phase 5 | Human] human-executed (real money/device/inbox). awaiting human executor (LIVE keys / physical device / real inbox)</t>
        </is>
      </c>
    </row>
    <row r="9" ht="22.35" customHeight="1" s="29">
      <c r="A9" s="36" t="inlineStr">
        <is>
          <t>PAY-0007</t>
        </is>
      </c>
      <c r="B9" s="54" t="inlineStr">
        <is>
          <t>P1</t>
        </is>
      </c>
      <c r="C9" s="36" t="inlineStr">
        <is>
          <t>Backend</t>
        </is>
      </c>
      <c r="D9" s="36" t="inlineStr">
        <is>
          <t>Pre-debit &amp; renewal reminders fire</t>
        </is>
      </c>
      <c r="E9" s="36" t="inlineStr">
        <is>
          <t>Auto-renew requires legally/UX-mandated notices. If the crons don't fire, users are charged without notice.</t>
        </is>
      </c>
      <c r="F9" s="36" t="inlineStr">
        <is>
          <t>Accounts with upcoming renewals in staging; cron access.</t>
        </is>
      </c>
      <c r="G9" s="36" t="inlineStr">
        <is>
          <t>1) Confirm send-pre-debit-notice and send-renewal-reminder have live schedules. 2) Trigger the window. 3) Confirm the notice is sent once.</t>
        </is>
      </c>
      <c r="H9" s="36" t="inlineStr">
        <is>
          <t>Both reminders fire on schedule, exactly once, to the right user.</t>
        </is>
      </c>
      <c r="I9" s="36" t="inlineStr">
        <is>
          <t>Cron schedule + delivery evidence</t>
        </is>
      </c>
      <c r="J9" s="41" t="inlineStr">
        <is>
          <t>NOT RUN</t>
        </is>
      </c>
      <c r="K9" s="36" t="inlineStr">
        <is>
          <t>Claude</t>
        </is>
      </c>
      <c r="L9" s="36" t="n"/>
      <c r="M9" s="36" t="n"/>
      <c r="N9" s="36" t="inlineStr">
        <is>
          <t>[T1 | Phase 1 | Claude] static code/config/migration review, file:line evidence</t>
        </is>
      </c>
    </row>
    <row r="10" ht="22.35" customHeight="1" s="29">
      <c r="A10" s="37" t="inlineStr">
        <is>
          <t>PAY-0008</t>
        </is>
      </c>
      <c r="B10" s="53" t="inlineStr">
        <is>
          <t>P0</t>
        </is>
      </c>
      <c r="C10" s="37" t="inlineStr">
        <is>
          <t>Backend</t>
        </is>
      </c>
      <c r="D10" s="37" t="inlineStr">
        <is>
          <t>Payment→entitlement→quota→AI access seam</t>
        </is>
      </c>
      <c r="E10" s="37" t="inlineStr">
        <is>
          <t>The money must actually change what the user can do — immediately and by exactly the plan. This is a core seam.</t>
        </is>
      </c>
      <c r="F10" s="37" t="inlineStr">
        <is>
          <t>The live test subscription.</t>
        </is>
      </c>
      <c r="G10" s="37" t="inlineStr">
        <is>
          <t>1) Before payment, note Foxy/quiz limits. 2) After payment, confirm the limits/entitlements change to exactly the plan's. 3) Confirm no more, no less.</t>
        </is>
      </c>
      <c r="H10" s="37" t="inlineStr">
        <is>
          <t>Post-payment entitlements match the plan precisely and take effect immediately.</t>
        </is>
      </c>
      <c r="I10" s="37" t="inlineStr">
        <is>
          <t>Before/after entitlement + quota evidence</t>
        </is>
      </c>
      <c r="J10" s="43" t="inlineStr">
        <is>
          <t>NOT RUN</t>
        </is>
      </c>
      <c r="K10" s="37" t="inlineStr">
        <is>
          <t>Claude</t>
        </is>
      </c>
      <c r="L10" s="37" t="n"/>
      <c r="M10" s="37" t="n"/>
      <c r="N10" s="37" t="inlineStr">
        <is>
          <t>[T2 | Phase 2 | Claude] repo's own vitest/Playwright suite, run headless</t>
        </is>
      </c>
    </row>
  </sheetData>
  <autoFilter ref="A2:N10"/>
  <mergeCells count="1">
    <mergeCell ref="A1:N1"/>
  </mergeCells>
  <conditionalFormatting sqref="J3:J10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10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N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11 · Quotas &amp; Entitlements   —   4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32.8" customHeight="1" s="29">
      <c r="A3" s="36" t="inlineStr">
        <is>
          <t>QUO-0001</t>
        </is>
      </c>
      <c r="B3" s="53" t="inlineStr">
        <is>
          <t>P0</t>
        </is>
      </c>
      <c r="C3" s="36" t="inlineStr">
        <is>
          <t>Backend</t>
        </is>
      </c>
      <c r="D3" s="36" t="inlineStr">
        <is>
          <t>Quota cap enforced atomically</t>
        </is>
      </c>
      <c r="E3" s="36" t="inlineStr">
        <is>
          <t>Free plans must cap usage. A race that lets cap+1 through leaks paid value and AI cost.</t>
        </is>
      </c>
      <c r="F3" s="36" t="inlineStr">
        <is>
          <t>A free account near its cap.</t>
        </is>
      </c>
      <c r="G3" s="36" t="inlineStr">
        <is>
          <t>1) Drive the account to exactly its cap. 2) Attempt one more metered call. 3) Attempt concurrent calls at the boundary.</t>
        </is>
      </c>
      <c r="H3" s="36" t="inlineStr">
        <is>
          <t>At cap, a structured limit error is returned (not a crash/blank); concurrent boundary calls cannot exceed the cap (atomic UPDATE).</t>
        </is>
      </c>
      <c r="I3" s="36" t="inlineStr">
        <is>
          <t>Screenshots + concurrency test result</t>
        </is>
      </c>
      <c r="J3" s="41" t="inlineStr">
        <is>
          <t>NOT RUN</t>
        </is>
      </c>
      <c r="K3" s="36" t="inlineStr">
        <is>
          <t>Claude (pending env)</t>
        </is>
      </c>
      <c r="L3" s="36" t="n"/>
      <c r="M3" s="36" t="n"/>
      <c r="N3" s="36" t="inlineStr">
        <is>
          <t>[T3 | Phase 3 | Claude (pending env)] parametrized SQL probe via live/staging Supabase. awaiting live/staging Supabase read access + A/B test accounts</t>
        </is>
      </c>
    </row>
    <row r="4" ht="22.35" customHeight="1" s="29">
      <c r="A4" s="37" t="inlineStr">
        <is>
          <t>QUO-0002</t>
        </is>
      </c>
      <c r="B4" s="53" t="inlineStr">
        <is>
          <t>P0</t>
        </is>
      </c>
      <c r="C4" s="37" t="inlineStr">
        <is>
          <t>Backend+DB</t>
        </is>
      </c>
      <c r="D4" s="37" t="inlineStr">
        <is>
          <t>Quota NEVER resets on deploy</t>
        </is>
      </c>
      <c r="E4" s="37" t="inlineStr">
        <is>
          <t>A historical bug reset quotas via migration on deploy, giving free usage away. This must be proven not to happen.</t>
        </is>
      </c>
      <c r="F4" s="37" t="inlineStr">
        <is>
          <t>An account with a known non-zero 'used' count.</t>
        </is>
      </c>
      <c r="G4" s="37" t="inlineStr">
        <is>
          <t>1) Record security_request_usage_daily.used for the account. 2) Deploy any trivial change. 3) Re-check used.</t>
        </is>
      </c>
      <c r="H4" s="37" t="inlineStr">
        <is>
          <t>The 'used' count is identical before and after the deploy; no reset.</t>
        </is>
      </c>
      <c r="I4" s="37" t="inlineStr">
        <is>
          <t>SQL before/after deploy</t>
        </is>
      </c>
      <c r="J4" s="43" t="inlineStr">
        <is>
          <t>NOT RUN</t>
        </is>
      </c>
      <c r="K4" s="37" t="inlineStr">
        <is>
          <t>Claude (pending env)</t>
        </is>
      </c>
      <c r="L4" s="37" t="n"/>
      <c r="M4" s="37" t="n"/>
      <c r="N4" s="37" t="inlineStr">
        <is>
          <t>[T3 | Phase 3 | Claude (pending env)] parametrized SQL probe via live/staging Supabase. awaiting live/staging Supabase read access + A/B test accounts</t>
        </is>
      </c>
    </row>
    <row r="5" ht="22.35" customHeight="1" s="29">
      <c r="A5" s="36" t="inlineStr">
        <is>
          <t>QUO-0003</t>
        </is>
      </c>
      <c r="B5" s="54" t="inlineStr">
        <is>
          <t>P1</t>
        </is>
      </c>
      <c r="C5" s="36" t="inlineStr">
        <is>
          <t>Backend</t>
        </is>
      </c>
      <c r="D5" s="36" t="inlineStr">
        <is>
          <t>Limit error is graceful, not a blank page</t>
        </is>
      </c>
      <c r="E5" s="36" t="inlineStr">
        <is>
          <t>Hitting a cap is normal. It must show a clear upgrade/limit message, never a broken screen.</t>
        </is>
      </c>
      <c r="F5" s="36" t="inlineStr">
        <is>
          <t>An account at cap.</t>
        </is>
      </c>
      <c r="G5" s="36" t="inlineStr">
        <is>
          <t>1) Hit the cap via UI. 2) Observe the student-facing result.</t>
        </is>
      </c>
      <c r="H5" s="36" t="inlineStr">
        <is>
          <t>A clear, friendly limit/upgrade message; no blank page or stack trace.</t>
        </is>
      </c>
      <c r="I5" s="36" t="inlineStr">
        <is>
          <t>Screenshot</t>
        </is>
      </c>
      <c r="J5" s="41" t="inlineStr">
        <is>
          <t>NOT RUN</t>
        </is>
      </c>
      <c r="K5" s="36" t="inlineStr">
        <is>
          <t>Claude (pending env)</t>
        </is>
      </c>
      <c r="L5" s="36" t="n"/>
      <c r="M5" s="36" t="n"/>
      <c r="N5" s="36" t="inlineStr">
        <is>
          <t>[T3 | Phase 3 | Claude (pending env)] parametrized SQL probe via live/staging Supabase. awaiting live/staging Supabase read access + A/B test accounts</t>
        </is>
      </c>
    </row>
    <row r="6" ht="22.35" customHeight="1" s="29">
      <c r="A6" s="37" t="inlineStr">
        <is>
          <t>QUO-0004</t>
        </is>
      </c>
      <c r="B6" s="54" t="inlineStr">
        <is>
          <t>P1</t>
        </is>
      </c>
      <c r="C6" s="37" t="inlineStr">
        <is>
          <t>Backend</t>
        </is>
      </c>
      <c r="D6" s="37" t="inlineStr">
        <is>
          <t>Per-tenant AI budget isolation</t>
        </is>
      </c>
      <c r="E6" s="37" t="inlineStr">
        <is>
          <t>One school/tenant must not drain another's AI budget. Budgets are per-tenant.</t>
        </is>
      </c>
      <c r="F6" s="37" t="inlineStr">
        <is>
          <t>Two tenants with separate budgets in staging.</t>
        </is>
      </c>
      <c r="G6" s="37" t="inlineStr">
        <is>
          <t>1) Exhaust tenant A's AI budget. 2) Confirm tenant B is unaffected.</t>
        </is>
      </c>
      <c r="H6" s="37" t="inlineStr">
        <is>
          <t>Tenant A hitting its budget does not affect tenant B's availability.</t>
        </is>
      </c>
      <c r="I6" s="37" t="inlineStr">
        <is>
          <t>SQL/behavior evidence for both tenants</t>
        </is>
      </c>
      <c r="J6" s="43" t="inlineStr">
        <is>
          <t>NOT RUN</t>
        </is>
      </c>
      <c r="K6" s="37" t="inlineStr">
        <is>
          <t>Claude (pending env)</t>
        </is>
      </c>
      <c r="L6" s="37" t="n"/>
      <c r="M6" s="37" t="n"/>
      <c r="N6" s="37" t="inlineStr">
        <is>
          <t>[T3 | Phase 3 | Claude (pending env)] parametrized SQL probe via live/staging Supabase. awaiting live/staging Supabase read access + A/B test accounts</t>
        </is>
      </c>
    </row>
  </sheetData>
  <autoFilter ref="A2:N6"/>
  <mergeCells count="1">
    <mergeCell ref="A1:N1"/>
  </mergeCells>
  <conditionalFormatting sqref="J3:J6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6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N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12 · Gamification   —   4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22.35" customHeight="1" s="29">
      <c r="A3" s="36" t="inlineStr">
        <is>
          <t>GAM-0001</t>
        </is>
      </c>
      <c r="B3" s="54" t="inlineStr">
        <is>
          <t>P1</t>
        </is>
      </c>
      <c r="C3" s="36" t="inlineStr">
        <is>
          <t>Backend</t>
        </is>
      </c>
      <c r="D3" s="36" t="inlineStr">
        <is>
          <t>XP credited once per completion</t>
        </is>
      </c>
      <c r="E3" s="36" t="inlineStr">
        <is>
          <t>XP that double-credits on retries inflates leaderboards and destroys fairness.</t>
        </is>
      </c>
      <c r="F3" s="36" t="inlineStr">
        <is>
          <t>A student completing a quiz.</t>
        </is>
      </c>
      <c r="G3" s="36" t="inlineStr">
        <is>
          <t>1) Complete a quiz; record xp_transactions. 2) Replay the submission. 3) Re-check XP.</t>
        </is>
      </c>
      <c r="H3" s="36" t="inlineStr">
        <is>
          <t>XP credited exactly once; replay adds nothing.</t>
        </is>
      </c>
      <c r="I3" s="36" t="inlineStr">
        <is>
          <t>SQL before/after</t>
        </is>
      </c>
      <c r="J3" s="41" t="inlineStr">
        <is>
          <t>NOT RUN</t>
        </is>
      </c>
      <c r="K3" s="36" t="inlineStr">
        <is>
          <t>Claude</t>
        </is>
      </c>
      <c r="L3" s="36" t="n"/>
      <c r="M3" s="36" t="n"/>
      <c r="N3" s="36" t="inlineStr">
        <is>
          <t>[T2 | Phase 2 | Claude] repo's own vitest/Playwright suite, run headless</t>
        </is>
      </c>
    </row>
    <row r="4" ht="22.35" customHeight="1" s="29">
      <c r="A4" s="37" t="inlineStr">
        <is>
          <t>GAM-0002</t>
        </is>
      </c>
      <c r="B4" s="54" t="inlineStr">
        <is>
          <t>P1</t>
        </is>
      </c>
      <c r="C4" s="37" t="inlineStr">
        <is>
          <t>Backend</t>
        </is>
      </c>
      <c r="D4" s="37" t="inlineStr">
        <is>
          <t>Leaderboard scoping</t>
        </is>
      </c>
      <c r="E4" s="37" t="inlineStr">
        <is>
          <t>A student must see their class/school leaderboard — not strangers from other schools (privacy + relevance).</t>
        </is>
      </c>
      <c r="F4" s="37" t="inlineStr">
        <is>
          <t>Students across two classes/schools.</t>
        </is>
      </c>
      <c r="G4" s="37" t="inlineStr">
        <is>
          <t>1) Open a leaderboard as a student. 2) Confirm it contains only the correct class/school peers.</t>
        </is>
      </c>
      <c r="H4" s="37" t="inlineStr">
        <is>
          <t>Leaderboard is correctly scoped; no cross-school/class leakage.</t>
        </is>
      </c>
      <c r="I4" s="37" t="inlineStr">
        <is>
          <t>Screenshot + SQL scoping</t>
        </is>
      </c>
      <c r="J4" s="43" t="inlineStr">
        <is>
          <t>NOT RUN</t>
        </is>
      </c>
      <c r="K4" s="37" t="inlineStr">
        <is>
          <t>Claude</t>
        </is>
      </c>
      <c r="L4" s="37" t="n"/>
      <c r="M4" s="37" t="n"/>
      <c r="N4" s="37" t="inlineStr">
        <is>
          <t>[T2 | Phase 2 | Claude] repo's own vitest/Playwright suite, run headless</t>
        </is>
      </c>
    </row>
    <row r="5" ht="22.35" customHeight="1" s="29">
      <c r="A5" s="36" t="inlineStr">
        <is>
          <t>GAM-0003</t>
        </is>
      </c>
      <c r="B5" s="55" t="inlineStr">
        <is>
          <t>P2</t>
        </is>
      </c>
      <c r="C5" s="36" t="inlineStr">
        <is>
          <t>Backend</t>
        </is>
      </c>
      <c r="D5" s="36" t="inlineStr">
        <is>
          <t>Streak logic</t>
        </is>
      </c>
      <c r="E5" s="36" t="inlineStr">
        <is>
          <t>Streaks drive daily habit. Breaking a streak despite activity (or vice versa) frustrates students.</t>
        </is>
      </c>
      <c r="F5" s="36" t="inlineStr">
        <is>
          <t>A student with a running streak.</t>
        </is>
      </c>
      <c r="G5" s="36" t="inlineStr">
        <is>
          <t>1) Practice on consecutive days; confirm streak increments. 2) Skip a day; confirm streak behavior matches the grace policy.</t>
        </is>
      </c>
      <c r="H5" s="36" t="inlineStr">
        <is>
          <t>Streak increments on activity and breaks/freezes per the defined policy.</t>
        </is>
      </c>
      <c r="I5" s="36" t="inlineStr">
        <is>
          <t>Multi-day evidence</t>
        </is>
      </c>
      <c r="J5" s="41" t="inlineStr">
        <is>
          <t>NOT RUN</t>
        </is>
      </c>
      <c r="K5" s="36" t="inlineStr">
        <is>
          <t>Claude</t>
        </is>
      </c>
      <c r="L5" s="36" t="n"/>
      <c r="M5" s="36" t="n"/>
      <c r="N5" s="36" t="inlineStr">
        <is>
          <t>[T2 | Phase 2 | Claude] repo's own vitest/Playwright suite, run headless</t>
        </is>
      </c>
    </row>
    <row r="6" ht="22.35" customHeight="1" s="29">
      <c r="A6" s="37" t="inlineStr">
        <is>
          <t>GAM-0004</t>
        </is>
      </c>
      <c r="B6" s="55" t="inlineStr">
        <is>
          <t>P2</t>
        </is>
      </c>
      <c r="C6" s="37" t="inlineStr">
        <is>
          <t>Frontend</t>
        </is>
      </c>
      <c r="D6" s="37" t="inlineStr">
        <is>
          <t>Gamification does not overshadow learning</t>
        </is>
      </c>
      <c r="E6" s="37" t="inlineStr">
        <is>
          <t>Rewards should amplify, not replace, learning. Excessive reward UI can hollow out engagement.</t>
        </is>
      </c>
      <c r="F6" s="37" t="inlineStr">
        <is>
          <t>A normal student session.</t>
        </is>
      </c>
      <c r="G6" s="37" t="inlineStr">
        <is>
          <t>1) Complete a learning session. 2) Assess whether reward elements are proportionate and not gameable without learning.</t>
        </is>
      </c>
      <c r="H6" s="37" t="inlineStr">
        <is>
          <t>Rewards feel supportive; no obvious way to farm XP without actually answering.</t>
        </is>
      </c>
      <c r="I6" s="37" t="inlineStr">
        <is>
          <t>Reviewer note + screenshots</t>
        </is>
      </c>
      <c r="J6" s="43" t="inlineStr">
        <is>
          <t>NOT RUN</t>
        </is>
      </c>
      <c r="K6" s="37" t="inlineStr">
        <is>
          <t>Claude</t>
        </is>
      </c>
      <c r="L6" s="37" t="n"/>
      <c r="M6" s="37" t="n"/>
      <c r="N6" s="37" t="inlineStr">
        <is>
          <t>[T2 | Phase 2 | Claude] repo's own vitest/Playwright suite, run headless</t>
        </is>
      </c>
    </row>
  </sheetData>
  <autoFilter ref="A2:N6"/>
  <mergeCells count="1">
    <mergeCell ref="A1:N1"/>
  </mergeCells>
  <conditionalFormatting sqref="J3:J6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6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N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13 · Observability, Cron &amp; Alerts   —   7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43.25" customHeight="1" s="29">
      <c r="A3" s="36" t="inlineStr">
        <is>
          <t>OPS-0001</t>
        </is>
      </c>
      <c r="B3" s="53" t="inlineStr">
        <is>
          <t>P0</t>
        </is>
      </c>
      <c r="C3" s="36" t="inlineStr">
        <is>
          <t>Ops</t>
        </is>
      </c>
      <c r="D3" s="36" t="inlineStr">
        <is>
          <t>Six alert rules exist and TEST-FIRE</t>
        </is>
      </c>
      <c r="E3" s="36" t="inlineStr">
        <is>
          <t>A rotated secret once silenced monitoring for 17 days with nobody paged, because only one alert existed. The six-alert minimum must not just be configured — each must actually deliver a notification.</t>
        </is>
      </c>
      <c r="F3" s="36" t="inlineStr">
        <is>
          <t>The alert config and a real notification channel.</t>
        </is>
      </c>
      <c r="G3" s="36" t="inlineStr">
        <is>
          <t>1) Confirm all six rules exist: projector lag, dead letters &gt; baseline, webhook failure rate, AI error rate, cron silence/failure, DB connection saturation. 2) Trigger each in staging. 3) Confirm a notification actually arrives on the channel.</t>
        </is>
      </c>
      <c r="H3" s="36" t="inlineStr">
        <is>
          <t>All six rules present; each fires a real notification when its condition is met.</t>
        </is>
      </c>
      <c r="I3" s="36" t="inlineStr">
        <is>
          <t>Six notification screenshots</t>
        </is>
      </c>
      <c r="J3" s="41" t="inlineStr">
        <is>
          <t>NOT RUN</t>
        </is>
      </c>
      <c r="K3" s="36" t="inlineStr">
        <is>
          <t>Claude</t>
        </is>
      </c>
      <c r="L3" s="36" t="n"/>
      <c r="M3" s="36" t="n"/>
      <c r="N3" s="36" t="inlineStr">
        <is>
          <t>[T1 | Phase 1 | Claude] static code/config/migration review, file:line evidence</t>
        </is>
      </c>
    </row>
    <row r="4" ht="22.35" customHeight="1" s="29">
      <c r="A4" s="37" t="inlineStr">
        <is>
          <t>OPS-0002</t>
        </is>
      </c>
      <c r="B4" s="53" t="inlineStr">
        <is>
          <t>P0</t>
        </is>
      </c>
      <c r="C4" s="37" t="inlineStr">
        <is>
          <t>Ops</t>
        </is>
      </c>
      <c r="D4" s="37" t="inlineStr">
        <is>
          <t>Backup restore drill</t>
        </is>
      </c>
      <c r="E4" s="37" t="inlineStr">
        <is>
          <t>An untested backup is a hope. A restore must be proven to work before launch.</t>
        </is>
      </c>
      <c r="F4" s="37" t="inlineStr">
        <is>
          <t>Access to backups and a scratch/branch DB.</t>
        </is>
      </c>
      <c r="G4" s="37" t="inlineStr">
        <is>
          <t>1) Restore last night's backup to a scratch DB. 2) Run a query proving data is present and coherent. 3) Record it in backup_status.</t>
        </is>
      </c>
      <c r="H4" s="37" t="inlineStr">
        <is>
          <t>Restore succeeds; data verified; backup_status has a real row.</t>
        </is>
      </c>
      <c r="I4" s="37" t="inlineStr">
        <is>
          <t>Restore log + verification query + backup_status row</t>
        </is>
      </c>
      <c r="J4" s="43" t="inlineStr">
        <is>
          <t>NOT RUN</t>
        </is>
      </c>
      <c r="K4" s="37" t="inlineStr">
        <is>
          <t>Claude</t>
        </is>
      </c>
      <c r="L4" s="37" t="n"/>
      <c r="M4" s="37" t="n"/>
      <c r="N4" s="37" t="inlineStr">
        <is>
          <t>[T1 | Phase 1 | Claude] static code/config/migration review, file:line evidence</t>
        </is>
      </c>
    </row>
    <row r="5" ht="32.8" customHeight="1" s="29">
      <c r="A5" s="36" t="inlineStr">
        <is>
          <t>OPS-0003</t>
        </is>
      </c>
      <c r="B5" s="54" t="inlineStr">
        <is>
          <t>P1</t>
        </is>
      </c>
      <c r="C5" s="36" t="inlineStr">
        <is>
          <t>Ops</t>
        </is>
      </c>
      <c r="D5" s="36" t="inlineStr">
        <is>
          <t>All pg_cron jobs green</t>
        </is>
      </c>
      <c r="E5" s="36" t="inlineStr">
        <is>
          <t>Silent cron failures (the 17-day incident) must be impossible to miss. Every scheduled job must be firing.</t>
        </is>
      </c>
      <c r="F5" s="36" t="inlineStr">
        <is>
          <t>Access to cron job history.</t>
        </is>
      </c>
      <c r="G5" s="36" t="inlineStr">
        <is>
          <t>1) List all pg_cron jobs. 2) Confirm each has run successfully within its expected window since the cron-secret fix. 3) Confirm none are disabled unexpectedly.</t>
        </is>
      </c>
      <c r="H5" s="36" t="inlineStr">
        <is>
          <t>Every scheduled job is active and has recent successful runs; none silently failing.</t>
        </is>
      </c>
      <c r="I5" s="36" t="inlineStr">
        <is>
          <t>Cron job status export</t>
        </is>
      </c>
      <c r="J5" s="41" t="inlineStr">
        <is>
          <t>NOT RUN</t>
        </is>
      </c>
      <c r="K5" s="36" t="inlineStr">
        <is>
          <t>Claude</t>
        </is>
      </c>
      <c r="L5" s="36" t="n"/>
      <c r="M5" s="36" t="n"/>
      <c r="N5" s="36" t="inlineStr">
        <is>
          <t>[T1 | Phase 1 | Claude] static code/config/migration review, file:line evidence</t>
        </is>
      </c>
    </row>
    <row r="6" ht="22.35" customHeight="1" s="29">
      <c r="A6" s="37" t="inlineStr">
        <is>
          <t>OPS-0004</t>
        </is>
      </c>
      <c r="B6" s="54" t="inlineStr">
        <is>
          <t>P1</t>
        </is>
      </c>
      <c r="C6" s="37" t="inlineStr">
        <is>
          <t>Ops</t>
        </is>
      </c>
      <c r="D6" s="37" t="inlineStr">
        <is>
          <t>Dead letters drained &amp; alerting</t>
        </is>
      </c>
      <c r="E6" s="37" t="inlineStr">
        <is>
          <t>Dead-lettered events are failures parked for review. They must be triaged, not left to accumulate silently.</t>
        </is>
      </c>
      <c r="F6" s="37" t="inlineStr">
        <is>
          <t>Access to subscriber_dead_letters.</t>
        </is>
      </c>
      <c r="G6" s="37" t="inlineStr">
        <is>
          <t>1) Review current dead letters. 2) Triage/drain them via a reviewed path. 3) Confirm the dead-letter alert fires when count exceeds baseline.</t>
        </is>
      </c>
      <c r="H6" s="37" t="inlineStr">
        <is>
          <t>Dead letters triaged to zero-or-known; the count&gt;baseline alert works.</t>
        </is>
      </c>
      <c r="I6" s="37" t="inlineStr">
        <is>
          <t>Before/after dead-letter count + alert evidence</t>
        </is>
      </c>
      <c r="J6" s="43" t="inlineStr">
        <is>
          <t>NOT RUN</t>
        </is>
      </c>
      <c r="K6" s="37" t="inlineStr">
        <is>
          <t>Claude</t>
        </is>
      </c>
      <c r="L6" s="37" t="n"/>
      <c r="M6" s="37" t="n"/>
      <c r="N6" s="37" t="inlineStr">
        <is>
          <t>[T1 | Phase 1 | Claude] static code/config/migration review, file:line evidence</t>
        </is>
      </c>
    </row>
    <row r="7" ht="22.35" customHeight="1" s="29">
      <c r="A7" s="36" t="inlineStr">
        <is>
          <t>OPS-0005</t>
        </is>
      </c>
      <c r="B7" s="54" t="inlineStr">
        <is>
          <t>P1</t>
        </is>
      </c>
      <c r="C7" s="36" t="inlineStr">
        <is>
          <t>Ops</t>
        </is>
      </c>
      <c r="D7" s="36" t="inlineStr">
        <is>
          <t>Both hosts health-probed</t>
        </is>
      </c>
      <c r="E7" s="36" t="inlineStr">
        <is>
          <t>Both compute hosts must be monitored, or a failure on the unmonitored one is invisible.</t>
        </is>
      </c>
      <c r="F7" s="36" t="inlineStr">
        <is>
          <t>synthetic-host-monitor access.</t>
        </is>
      </c>
      <c r="G7" s="36" t="inlineStr">
        <is>
          <t>1) Confirm the monitor probes BOTH hosts. 2) Confirm results write to health_check_log. 3) Kill a probe target in staging and confirm detection.</t>
        </is>
      </c>
      <c r="H7" s="36" t="inlineStr">
        <is>
          <t>Both hosts probed; results logged; a downed host is detected and alerts.</t>
        </is>
      </c>
      <c r="I7" s="36" t="inlineStr">
        <is>
          <t>health_check_log rows + alert evidence</t>
        </is>
      </c>
      <c r="J7" s="41" t="inlineStr">
        <is>
          <t>NOT RUN</t>
        </is>
      </c>
      <c r="K7" s="36" t="inlineStr">
        <is>
          <t>Claude</t>
        </is>
      </c>
      <c r="L7" s="36" t="n"/>
      <c r="M7" s="36" t="n"/>
      <c r="N7" s="36" t="inlineStr">
        <is>
          <t>[T1 | Phase 1 | Claude] static code/config/migration review, file:line evidence</t>
        </is>
      </c>
    </row>
    <row r="8" ht="22.35" customHeight="1" s="29">
      <c r="A8" s="37" t="inlineStr">
        <is>
          <t>OPS-0006</t>
        </is>
      </c>
      <c r="B8" s="54" t="inlineStr">
        <is>
          <t>P1</t>
        </is>
      </c>
      <c r="C8" s="37" t="inlineStr">
        <is>
          <t>Backend</t>
        </is>
      </c>
      <c r="D8" s="37" t="inlineStr">
        <is>
          <t>Circuit breaker degrades gracefully</t>
        </is>
      </c>
      <c r="E8" s="37" t="inlineStr">
        <is>
          <t>Under an AI provider storm, the breaker must shed load with a friendly message, not cascade failures.</t>
        </is>
      </c>
      <c r="F8" s="37" t="inlineStr">
        <is>
          <t>Ability to simulate an AI storm in staging.</t>
        </is>
      </c>
      <c r="G8" s="37" t="inlineStr">
        <is>
          <t>1) Simulate sustained AI errors. 2) Observe the breaker (security_circuit_state) open. 3) Observe the user-facing behavior.</t>
        </is>
      </c>
      <c r="H8" s="37" t="inlineStr">
        <is>
          <t>Breaker opens; users see 'high demand, retrying'; no cascade; recovery when the provider recovers.</t>
        </is>
      </c>
      <c r="I8" s="37" t="inlineStr">
        <is>
          <t>Staging logs + user message screenshot</t>
        </is>
      </c>
      <c r="J8" s="43" t="inlineStr">
        <is>
          <t>NOT RUN</t>
        </is>
      </c>
      <c r="K8" s="37" t="inlineStr">
        <is>
          <t>Claude</t>
        </is>
      </c>
      <c r="L8" s="37" t="n"/>
      <c r="M8" s="37" t="n"/>
      <c r="N8" s="37" t="inlineStr">
        <is>
          <t>[T1 | Phase 1 | Claude] static code/config/migration review, file:line evidence</t>
        </is>
      </c>
    </row>
    <row r="9" ht="22.35" customHeight="1" s="29">
      <c r="A9" s="36" t="inlineStr">
        <is>
          <t>OPS-0007</t>
        </is>
      </c>
      <c r="B9" s="55" t="inlineStr">
        <is>
          <t>P2</t>
        </is>
      </c>
      <c r="C9" s="36" t="inlineStr">
        <is>
          <t>Backend</t>
        </is>
      </c>
      <c r="D9" s="36" t="inlineStr">
        <is>
          <t>Correlation IDs &amp; host tags on logs</t>
        </is>
      </c>
      <c r="E9" s="36" t="inlineStr">
        <is>
          <t>Debugging a dual-host system requires knowing which host served a request and tracing it end-to-end.</t>
        </is>
      </c>
      <c r="F9" s="36" t="inlineStr">
        <is>
          <t>Log access on both hosts.</t>
        </is>
      </c>
      <c r="G9" s="36" t="inlineStr">
        <is>
          <t>1) Make a request. 2) Trace it through logs using its correlation ID. 3) Confirm every line carries a host tag.</t>
        </is>
      </c>
      <c r="H9" s="36" t="inlineStr">
        <is>
          <t>Requests are traceable by correlation ID; every log line names its host.</t>
        </is>
      </c>
      <c r="I9" s="36" t="inlineStr">
        <is>
          <t>Log excerpt</t>
        </is>
      </c>
      <c r="J9" s="41" t="inlineStr">
        <is>
          <t>NOT RUN</t>
        </is>
      </c>
      <c r="K9" s="36" t="inlineStr">
        <is>
          <t>Claude</t>
        </is>
      </c>
      <c r="L9" s="36" t="n"/>
      <c r="M9" s="36" t="n"/>
      <c r="N9" s="36" t="inlineStr">
        <is>
          <t>[T1 | Phase 1 | Claude] static code/config/migration review, file:line evidence</t>
        </is>
      </c>
    </row>
  </sheetData>
  <autoFilter ref="A2:N9"/>
  <mergeCells count="1">
    <mergeCell ref="A1:N1"/>
  </mergeCells>
  <conditionalFormatting sqref="J3:J9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9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14 · Dual-Host &amp; Deploy Hygiene   —   6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32.8" customHeight="1" s="29">
      <c r="A3" s="36" t="inlineStr">
        <is>
          <t>HOST-0001</t>
        </is>
      </c>
      <c r="B3" s="53" t="inlineStr">
        <is>
          <t>P0</t>
        </is>
      </c>
      <c r="C3" s="36" t="inlineStr">
        <is>
          <t>Ops</t>
        </is>
      </c>
      <c r="D3" s="36" t="inlineStr">
        <is>
          <t>Env parity across Vercel &amp; Fargate</t>
        </is>
      </c>
      <c r="E3" s="36" t="inlineStr">
        <is>
          <t>Two hosts on one Supabase drift silently if env vars differ. A divergent secret causes 'works on one host, broken on the other' bugs.</t>
        </is>
      </c>
      <c r="F3" s="36" t="inlineStr">
        <is>
          <t>The committed env manifest and both hosts' configs.</t>
        </is>
      </c>
      <c r="G3" s="36" t="inlineStr">
        <is>
          <t>1) Diff the env manifest against Vercel env vars. 2) Diff it against the Fargate task definition. 3) Include Upstash and any L2-cache keys.</t>
        </is>
      </c>
      <c r="H3" s="36" t="inlineStr">
        <is>
          <t>Every referenced var is in the manifest and present (or justified host-specific) on both hosts; no unexplained divergence.</t>
        </is>
      </c>
      <c r="I3" s="36" t="inlineStr">
        <is>
          <t>Diff output for both hosts</t>
        </is>
      </c>
      <c r="J3" s="41" t="inlineStr">
        <is>
          <t>NOT RUN</t>
        </is>
      </c>
      <c r="K3" s="36" t="inlineStr">
        <is>
          <t>Claude</t>
        </is>
      </c>
      <c r="L3" s="36" t="n"/>
      <c r="M3" s="36" t="n"/>
      <c r="N3" s="36" t="inlineStr">
        <is>
          <t>[T1 | Phase 1 | Claude] static code/config/migration review, file:line evidence</t>
        </is>
      </c>
    </row>
    <row r="4" ht="22.35" customHeight="1" s="29">
      <c r="A4" s="37" t="inlineStr">
        <is>
          <t>HOST-0002</t>
        </is>
      </c>
      <c r="B4" s="53" t="inlineStr">
        <is>
          <t>P0</t>
        </is>
      </c>
      <c r="C4" s="37" t="inlineStr">
        <is>
          <t>Ops</t>
        </is>
      </c>
      <c r="D4" s="37" t="inlineStr">
        <is>
          <t>No webhook registered on both hosts</t>
        </is>
      </c>
      <c r="E4" s="37" t="inlineStr">
        <is>
          <t>A double-registered webhook double-processes payments/quota. Absolute rule.</t>
        </is>
      </c>
      <c r="F4" s="37" t="inlineStr">
        <is>
          <t>Provider dashboards (Razorpay, Mailgun).</t>
        </is>
      </c>
      <c r="G4" s="37" t="inlineStr">
        <is>
          <t>1) In each provider, list registered webhook URLs. 2) Confirm exactly one per provider, on Vercel.</t>
        </is>
      </c>
      <c r="H4" s="37" t="inlineStr">
        <is>
          <t>One URL per provider, Vercel only; nothing on Fargate.</t>
        </is>
      </c>
      <c r="I4" s="37" t="inlineStr">
        <is>
          <t>Provider dashboard screenshots</t>
        </is>
      </c>
      <c r="J4" s="43" t="inlineStr">
        <is>
          <t>NOT RUN</t>
        </is>
      </c>
      <c r="K4" s="37" t="inlineStr">
        <is>
          <t>Claude</t>
        </is>
      </c>
      <c r="L4" s="37" t="n"/>
      <c r="M4" s="37" t="n"/>
      <c r="N4" s="37" t="inlineStr">
        <is>
          <t>[T1 | Phase 1 | Claude] static code/config/migration review, file:line evidence</t>
        </is>
      </c>
    </row>
    <row r="5" ht="32.8" customHeight="1" s="29">
      <c r="A5" s="36" t="inlineStr">
        <is>
          <t>HOST-0003</t>
        </is>
      </c>
      <c r="B5" s="54" t="inlineStr">
        <is>
          <t>P1</t>
        </is>
      </c>
      <c r="C5" s="36" t="inlineStr">
        <is>
          <t>Ops</t>
        </is>
      </c>
      <c r="D5" s="36" t="inlineStr">
        <is>
          <t>Fargate role is batch-only</t>
        </is>
      </c>
      <c r="E5" s="36" t="inlineStr">
        <is>
          <t>Fargate must run long jobs, not serve interactive traffic or receive webhooks — else the drift surface doubles.</t>
        </is>
      </c>
      <c r="F5" s="36" t="inlineStr">
        <is>
          <t>ECS console access (still unverified from prior sessions — must be checked by someone with AWS access).</t>
        </is>
      </c>
      <c r="G5" s="36" t="inlineStr">
        <is>
          <t>1) Confirm Fargate runs only batch/worker jobs. 2) Confirm it serves no interactive routes and receives no webhooks.</t>
        </is>
      </c>
      <c r="H5" s="36" t="inlineStr">
        <is>
          <t>Fargate is batch-only; interactive traffic and webhooks are Vercel-only.</t>
        </is>
      </c>
      <c r="I5" s="36" t="inlineStr">
        <is>
          <t>ECS console screenshot</t>
        </is>
      </c>
      <c r="J5" s="41" t="inlineStr">
        <is>
          <t>NOT RUN</t>
        </is>
      </c>
      <c r="K5" s="36" t="inlineStr">
        <is>
          <t>Claude</t>
        </is>
      </c>
      <c r="L5" s="36" t="n"/>
      <c r="M5" s="36" t="n"/>
      <c r="N5" s="36" t="inlineStr">
        <is>
          <t>[T1 | Phase 1 | Claude] static code/config/migration review, file:line evidence</t>
        </is>
      </c>
    </row>
    <row r="6" ht="22.35" customHeight="1" s="29">
      <c r="A6" s="37" t="inlineStr">
        <is>
          <t>HOST-0004</t>
        </is>
      </c>
      <c r="B6" s="54" t="inlineStr">
        <is>
          <t>P1</t>
        </is>
      </c>
      <c r="C6" s="37" t="inlineStr">
        <is>
          <t>Ops</t>
        </is>
      </c>
      <c r="D6" s="37" t="inlineStr">
        <is>
          <t>Deploys name their host(s)</t>
        </is>
      </c>
      <c r="E6" s="37" t="inlineStr">
        <is>
          <t>A deploy to one host is not a deploy to both. The record must state which host(s) got the change.</t>
        </is>
      </c>
      <c r="F6" s="37" t="inlineStr">
        <is>
          <t>Deploy log/process.</t>
        </is>
      </c>
      <c r="G6" s="37" t="inlineStr">
        <is>
          <t>1) Perform a test deploy. 2) Confirm the deploy record explicitly names the target host(s).</t>
        </is>
      </c>
      <c r="H6" s="37" t="inlineStr">
        <is>
          <t>Every deploy names its host(s); ambiguity is impossible.</t>
        </is>
      </c>
      <c r="I6" s="37" t="inlineStr">
        <is>
          <t>Deploy record</t>
        </is>
      </c>
      <c r="J6" s="43" t="inlineStr">
        <is>
          <t>NOT RUN</t>
        </is>
      </c>
      <c r="K6" s="37" t="inlineStr">
        <is>
          <t>Claude</t>
        </is>
      </c>
      <c r="L6" s="37" t="n"/>
      <c r="M6" s="37" t="n"/>
      <c r="N6" s="37" t="inlineStr">
        <is>
          <t>[T1 | Phase 1 | Claude] static code/config/migration review, file:line evidence</t>
        </is>
      </c>
    </row>
    <row r="7" ht="22.35" customHeight="1" s="29">
      <c r="A7" s="36" t="inlineStr">
        <is>
          <t>HOST-0005</t>
        </is>
      </c>
      <c r="B7" s="53" t="inlineStr">
        <is>
          <t>P0</t>
        </is>
      </c>
      <c r="C7" s="36" t="inlineStr">
        <is>
          <t>Frontend</t>
        </is>
      </c>
      <c r="D7" s="36" t="inlineStr">
        <is>
          <t>No ghost routes (410/redirect, never silent 404)</t>
        </is>
      </c>
      <c r="E7" s="36" t="inlineStr">
        <is>
          <t>Removed routes must 410 or redirect. A silent 404 on a linked route is the ghost-route failure class.</t>
        </is>
      </c>
      <c r="F7" s="36" t="inlineStr">
        <is>
          <t>A list of removed/legacy routes.</t>
        </is>
      </c>
      <c r="G7" s="36" t="inlineStr">
        <is>
          <t>1) Hit each known removed/legacy route. 2) Confirm 410 or redirect to the canonical route. 3) Crawl nav for any link that 404s.</t>
        </is>
      </c>
      <c r="H7" s="36" t="inlineStr">
        <is>
          <t>Every removed route returns a structured 410 or redirect; no nav link leads to a silent 404.</t>
        </is>
      </c>
      <c r="I7" s="36" t="inlineStr">
        <is>
          <t>Route-by-route status list</t>
        </is>
      </c>
      <c r="J7" s="41" t="inlineStr">
        <is>
          <t>NOT RUN</t>
        </is>
      </c>
      <c r="K7" s="36" t="inlineStr">
        <is>
          <t>Claude</t>
        </is>
      </c>
      <c r="L7" s="36" t="n"/>
      <c r="M7" s="36" t="n"/>
      <c r="N7" s="36" t="inlineStr">
        <is>
          <t>[T1 | Phase 1 | Claude] static code/config/migration review, file:line evidence</t>
        </is>
      </c>
    </row>
    <row r="8" ht="32.8" customHeight="1" s="29">
      <c r="A8" s="37" t="inlineStr">
        <is>
          <t>HOST-0006</t>
        </is>
      </c>
      <c r="B8" s="54" t="inlineStr">
        <is>
          <t>P1</t>
        </is>
      </c>
      <c r="C8" s="37" t="inlineStr">
        <is>
          <t>Ops</t>
        </is>
      </c>
      <c r="D8" s="37" t="inlineStr">
        <is>
          <t>Pooled DB connections serve app traffic</t>
        </is>
      </c>
      <c r="E8" s="37" t="inlineStr">
        <is>
          <t>90+ functions × two hosts × serverless will exhaust direct DB connections. Transaction-mode pooling is the single highest-leverage scale item.</t>
        </is>
      </c>
      <c r="F8" s="37" t="inlineStr">
        <is>
          <t>Supabase connection config.</t>
        </is>
      </c>
      <c r="G8" s="37" t="inlineStr">
        <is>
          <t>1) Confirm app traffic uses Supavisor transaction-mode pooling. 2) Confirm direct connections are reserved for migrations/worker only.</t>
        </is>
      </c>
      <c r="H8" s="37" t="inlineStr">
        <is>
          <t>App traffic is pooled; direct connections are not used by request paths.</t>
        </is>
      </c>
      <c r="I8" s="37" t="inlineStr">
        <is>
          <t>Config screenshot</t>
        </is>
      </c>
      <c r="J8" s="43" t="inlineStr">
        <is>
          <t>NOT RUN</t>
        </is>
      </c>
      <c r="K8" s="37" t="inlineStr">
        <is>
          <t>Claude</t>
        </is>
      </c>
      <c r="L8" s="37" t="n"/>
      <c r="M8" s="37" t="n"/>
      <c r="N8" s="37" t="inlineStr">
        <is>
          <t>[T1 | Phase 1 | Claude] static code/config/migration review, file:line evidence</t>
        </is>
      </c>
    </row>
  </sheetData>
  <autoFilter ref="A2:N8"/>
  <mergeCells count="1">
    <mergeCell ref="A1:N1"/>
  </mergeCells>
  <conditionalFormatting sqref="J3:J8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8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N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15 · Frontend Experience &amp; Route Canon   —   7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32.8" customHeight="1" s="29">
      <c r="A3" s="36" t="inlineStr">
        <is>
          <t>FE-0001</t>
        </is>
      </c>
      <c r="B3" s="53" t="inlineStr">
        <is>
          <t>P0</t>
        </is>
      </c>
      <c r="C3" s="36" t="inlineStr">
        <is>
          <t>Frontend</t>
        </is>
      </c>
      <c r="D3" s="36" t="inlineStr">
        <is>
          <t>One canonical route per destination per role</t>
        </is>
      </c>
      <c r="E3" s="36" t="inlineStr">
        <is>
          <t>The platform once ran three frontend generations at once — the root of the dual-admin-UI incident. Each destination must have exactly one live implementation.</t>
        </is>
      </c>
      <c r="F3" s="36" t="inlineStr">
        <is>
          <t>The route inventory for the pinned build.</t>
        </is>
      </c>
      <c r="G3" s="36" t="inlineStr">
        <is>
          <t>1) For each concept (home, quiz, mock, Foxy, progress), list all live routes. 2) Confirm exactly one canonical route serves each; legacy ones 301/410.</t>
        </is>
      </c>
      <c r="H3" s="36" t="inlineStr">
        <is>
          <t>One canonical route per destination; no parallel live V1/V2 screens; legacy routes redirect/gone.</t>
        </is>
      </c>
      <c r="I3" s="36" t="inlineStr">
        <is>
          <t>Route inventory with canonical marked</t>
        </is>
      </c>
      <c r="J3" s="41" t="inlineStr">
        <is>
          <t>NOT RUN</t>
        </is>
      </c>
      <c r="K3" s="36" t="inlineStr">
        <is>
          <t>Claude</t>
        </is>
      </c>
      <c r="L3" s="36" t="n"/>
      <c r="M3" s="36" t="n"/>
      <c r="N3" s="36" t="inlineStr">
        <is>
          <t>[T1 | Phase 1 | Claude] static code/config/migration review, file:line evidence</t>
        </is>
      </c>
    </row>
    <row r="4" ht="32.8" customHeight="1" s="29">
      <c r="A4" s="37" t="inlineStr">
        <is>
          <t>FE-0002</t>
        </is>
      </c>
      <c r="B4" s="54" t="inlineStr">
        <is>
          <t>P1</t>
        </is>
      </c>
      <c r="C4" s="37" t="inlineStr">
        <is>
          <t>Frontend</t>
        </is>
      </c>
      <c r="D4" s="37" t="inlineStr">
        <is>
          <t>Feature-flag resolver honors percentage</t>
        </is>
      </c>
      <c r="E4" s="37" t="inlineStr">
        <is>
          <t>A flag can read is_enabled=true with rollout_percentage=0 (fully dark). The resolver's real behavior must be known and the launch state unambiguous.</t>
        </is>
      </c>
      <c r="F4" s="37" t="inlineStr">
        <is>
          <t>Access to ff_ui_v3_* flags and the resolver.</t>
        </is>
      </c>
      <c r="G4" s="37" t="inlineStr">
        <is>
          <t>1) Confirm how the resolver combines is_enabled and rollout_percentage. 2) Confirm the launch flag state is unambiguous (e.g. 100% on, or off) per role. 3) Confirm users actually see the intended UI.</t>
        </is>
      </c>
      <c r="H4" s="37" t="inlineStr">
        <is>
          <t>Flag state is unambiguous and matches what users actually see; no is_enabled/percentage contradiction shipping dark UI.</t>
        </is>
      </c>
      <c r="I4" s="37" t="inlineStr">
        <is>
          <t>Flag rows + user-facing screenshot</t>
        </is>
      </c>
      <c r="J4" s="43" t="inlineStr">
        <is>
          <t>NOT RUN</t>
        </is>
      </c>
      <c r="K4" s="37" t="inlineStr">
        <is>
          <t>Claude</t>
        </is>
      </c>
      <c r="L4" s="37" t="n"/>
      <c r="M4" s="37" t="n"/>
      <c r="N4" s="37" t="inlineStr">
        <is>
          <t>[T1 | Phase 1 | Claude] static code/config/migration review, file:line evidence</t>
        </is>
      </c>
    </row>
    <row r="5" ht="22.35" customHeight="1" s="29">
      <c r="A5" s="36" t="inlineStr">
        <is>
          <t>FE-0003</t>
        </is>
      </c>
      <c r="B5" s="53" t="inlineStr">
        <is>
          <t>P0</t>
        </is>
      </c>
      <c r="C5" s="36" t="inlineStr">
        <is>
          <t>Frontend</t>
        </is>
      </c>
      <c r="D5" s="36" t="inlineStr">
        <is>
          <t>No blank pages — everything is content or 'coming soon'</t>
        </is>
      </c>
      <c r="E5" s="36" t="inlineStr">
        <is>
          <t>A blank page once burned a live school demo. Every nav item must land on real content or an explicit coming-soon.</t>
        </is>
      </c>
      <c r="F5" s="36" t="inlineStr">
        <is>
          <t>Every role's full navigation.</t>
        </is>
      </c>
      <c r="G5" s="36" t="inlineStr">
        <is>
          <t>1) As each role, click EVERY nav item and sub-item. 2) Record any blank/error/dead-end.</t>
        </is>
      </c>
      <c r="H5" s="36" t="inlineStr">
        <is>
          <t>Zero blank pages; unbuilt features show an explicit 'coming soon'; every link resolves.</t>
        </is>
      </c>
      <c r="I5" s="36" t="inlineStr">
        <is>
          <t>Per-role nav click-through log</t>
        </is>
      </c>
      <c r="J5" s="41" t="inlineStr">
        <is>
          <t>NOT RUN</t>
        </is>
      </c>
      <c r="K5" s="36" t="inlineStr">
        <is>
          <t>Claude</t>
        </is>
      </c>
      <c r="L5" s="36" t="n"/>
      <c r="M5" s="36" t="n"/>
      <c r="N5" s="36" t="inlineStr">
        <is>
          <t>[T1 | Phase 1 | Claude] static code/config/migration review, file:line evidence</t>
        </is>
      </c>
    </row>
    <row r="6" ht="32.8" customHeight="1" s="29">
      <c r="A6" s="37" t="inlineStr">
        <is>
          <t>FE-0004</t>
        </is>
      </c>
      <c r="B6" s="54" t="inlineStr">
        <is>
          <t>P1</t>
        </is>
      </c>
      <c r="C6" s="37" t="inlineStr">
        <is>
          <t>Frontend</t>
        </is>
      </c>
      <c r="D6" s="37" t="inlineStr">
        <is>
          <t>Dev/test routes denied in production</t>
        </is>
      </c>
      <c r="E6" s="37" t="inlineStr">
        <is>
          <t>Internal dev galleries (/dev/*, test pages, second admin systems) publicly served in prod are a leak and a duplication risk.</t>
        </is>
      </c>
      <c r="F6" s="37" t="inlineStr">
        <is>
          <t>The production build.</t>
        </is>
      </c>
      <c r="G6" s="37" t="inlineStr">
        <is>
          <t>1) Attempt to open /dev/* and known internal/test routes in production. 2) Observe.</t>
        </is>
      </c>
      <c r="H6" s="37" t="inlineStr">
        <is>
          <t>All dev/test/internal routes return notFound/denied in production; none publicly reachable.</t>
        </is>
      </c>
      <c r="I6" s="37" t="inlineStr">
        <is>
          <t>Access-denied captures</t>
        </is>
      </c>
      <c r="J6" s="43" t="inlineStr">
        <is>
          <t>NOT RUN</t>
        </is>
      </c>
      <c r="K6" s="37" t="inlineStr">
        <is>
          <t>Claude</t>
        </is>
      </c>
      <c r="L6" s="37" t="n"/>
      <c r="M6" s="37" t="n"/>
      <c r="N6" s="37" t="inlineStr">
        <is>
          <t>[T1 | Phase 1 | Claude] static code/config/migration review, file:line evidence</t>
        </is>
      </c>
    </row>
    <row r="7" ht="32.8" customHeight="1" s="29">
      <c r="A7" s="36" t="inlineStr">
        <is>
          <t>FE-0005</t>
        </is>
      </c>
      <c r="B7" s="54" t="inlineStr">
        <is>
          <t>P1</t>
        </is>
      </c>
      <c r="C7" s="36" t="inlineStr">
        <is>
          <t>Frontend</t>
        </is>
      </c>
      <c r="D7" s="36" t="inlineStr">
        <is>
          <t>Sentry captures client AND server errors</t>
        </is>
      </c>
      <c r="E7" s="36" t="inlineStr">
        <is>
          <t>Server-side errors were invisible to Sentry before the instrumentation fix. During launch week, blindness is unacceptable.</t>
        </is>
      </c>
      <c r="F7" s="36" t="inlineStr">
        <is>
          <t>Sentry access.</t>
        </is>
      </c>
      <c r="G7" s="36" t="inlineStr">
        <is>
          <t>1) Trigger a client error and a server/RSC error in staging. 2) Confirm BOTH appear in Sentry.</t>
        </is>
      </c>
      <c r="H7" s="36" t="inlineStr">
        <is>
          <t>Both client and server errors are captured in Sentry; the instrumentation file is loaded.</t>
        </is>
      </c>
      <c r="I7" s="36" t="inlineStr">
        <is>
          <t>Sentry event screenshots (both)</t>
        </is>
      </c>
      <c r="J7" s="41" t="inlineStr">
        <is>
          <t>NOT RUN</t>
        </is>
      </c>
      <c r="K7" s="36" t="inlineStr">
        <is>
          <t>Claude</t>
        </is>
      </c>
      <c r="L7" s="36" t="n"/>
      <c r="M7" s="36" t="n"/>
      <c r="N7" s="36" t="inlineStr">
        <is>
          <t>[T1 | Phase 1 | Claude] static code/config/migration review, file:line evidence</t>
        </is>
      </c>
    </row>
    <row r="8" ht="22.35" customHeight="1" s="29">
      <c r="A8" s="37" t="inlineStr">
        <is>
          <t>FE-0006</t>
        </is>
      </c>
      <c r="B8" s="55" t="inlineStr">
        <is>
          <t>P2</t>
        </is>
      </c>
      <c r="C8" s="37" t="inlineStr">
        <is>
          <t>Frontend</t>
        </is>
      </c>
      <c r="D8" s="37" t="inlineStr">
        <is>
          <t>Core screens are server-rendered / fast</t>
        </is>
      </c>
      <c r="E8" s="37" t="inlineStr">
        <is>
          <t>Client-fetch waterfalls mean spinners between every screen on Indian school bandwidth. Core screens should render with data.</t>
        </is>
      </c>
      <c r="F8" s="37" t="inlineStr">
        <is>
          <t>The four core student screens.</t>
        </is>
      </c>
      <c r="G8" s="37" t="inlineStr">
        <is>
          <t>1) On a throttled connection, load Today, quiz, Foxy, progress. 2) Observe render vs spinner behavior.</t>
        </is>
      </c>
      <c r="H8" s="37" t="inlineStr">
        <is>
          <t>Core screens render with data quickly; no long spinner chains on throttled bandwidth.</t>
        </is>
      </c>
      <c r="I8" s="37" t="inlineStr">
        <is>
          <t>Throttled load recordings</t>
        </is>
      </c>
      <c r="J8" s="43" t="inlineStr">
        <is>
          <t>NOT RUN</t>
        </is>
      </c>
      <c r="K8" s="37" t="inlineStr">
        <is>
          <t>Claude</t>
        </is>
      </c>
      <c r="L8" s="37" t="n"/>
      <c r="M8" s="37" t="n"/>
      <c r="N8" s="37" t="inlineStr">
        <is>
          <t>[T1 | Phase 1 | Claude] static code/config/migration review, file:line evidence</t>
        </is>
      </c>
    </row>
    <row r="9" ht="22.35" customHeight="1" s="29">
      <c r="A9" s="36" t="inlineStr">
        <is>
          <t>FE-0007</t>
        </is>
      </c>
      <c r="B9" s="55" t="inlineStr">
        <is>
          <t>P2</t>
        </is>
      </c>
      <c r="C9" s="36" t="inlineStr">
        <is>
          <t>Frontend</t>
        </is>
      </c>
      <c r="D9" s="36" t="inlineStr">
        <is>
          <t>Consistent visual system</t>
        </is>
      </c>
      <c r="E9" s="36" t="inlineStr">
        <is>
          <t>Multiple visual languages (the three-generation bleed) read as 'pathetic/unfinished'. One system throughout.</t>
        </is>
      </c>
      <c r="F9" s="36" t="inlineStr">
        <is>
          <t>A cross-surface tour.</t>
        </is>
      </c>
      <c r="G9" s="36" t="inlineStr">
        <is>
          <t>1) Tour all major student screens. 2) Check for consistent typography, color, spacing, components.</t>
        </is>
      </c>
      <c r="H9" s="36" t="inlineStr">
        <is>
          <t>One coherent visual system; no legacy-generation bleed-through.</t>
        </is>
      </c>
      <c r="I9" s="36" t="inlineStr">
        <is>
          <t>Screenshot set</t>
        </is>
      </c>
      <c r="J9" s="41" t="inlineStr">
        <is>
          <t>NOT RUN</t>
        </is>
      </c>
      <c r="K9" s="36" t="inlineStr">
        <is>
          <t>Claude</t>
        </is>
      </c>
      <c r="L9" s="36" t="n"/>
      <c r="M9" s="36" t="n"/>
      <c r="N9" s="36" t="inlineStr">
        <is>
          <t>[T1 | Phase 1 | Claude] static code/config/migration review, file:line evidence</t>
        </is>
      </c>
    </row>
  </sheetData>
  <autoFilter ref="A2:N9"/>
  <mergeCells count="1">
    <mergeCell ref="A1:N1"/>
  </mergeCells>
  <conditionalFormatting sqref="J3:J9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9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N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16 · Security, RBAC &amp; RLS   —   8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32.8" customHeight="1" s="29">
      <c r="A3" s="36" t="inlineStr">
        <is>
          <t>SEC-0001</t>
        </is>
      </c>
      <c r="B3" s="53" t="inlineStr">
        <is>
          <t>P0</t>
        </is>
      </c>
      <c r="C3" s="36" t="inlineStr">
        <is>
          <t>Backend</t>
        </is>
      </c>
      <c r="D3" s="36" t="inlineStr">
        <is>
          <t>Role checked server-side everywhere</t>
        </is>
      </c>
      <c r="E3" s="36" t="inlineStr">
        <is>
          <t>If any admin action trusts a client-supplied role, RBAC is a facade. Historical incident: client-side role checks caused silent admin failures.</t>
        </is>
      </c>
      <c r="F3" s="36" t="inlineStr">
        <is>
          <t>Accounts for each role and a proxy.</t>
        </is>
      </c>
      <c r="G3" s="36" t="inlineStr">
        <is>
          <t>1) Log in as a low-privilege role. 2) Call privileged endpoints directly, tampering the role in the request. 3) Observe.</t>
        </is>
      </c>
      <c r="H3" s="36" t="inlineStr">
        <is>
          <t>Server ignores client-supplied role and enforces the real one; tampering never elevates privilege.</t>
        </is>
      </c>
      <c r="I3" s="36" t="inlineStr">
        <is>
          <t>Proxy captures of denied elevation</t>
        </is>
      </c>
      <c r="J3" s="41" t="inlineStr">
        <is>
          <t>NOT RUN</t>
        </is>
      </c>
      <c r="K3" s="36" t="inlineStr">
        <is>
          <t>Claude</t>
        </is>
      </c>
      <c r="L3" s="36" t="n"/>
      <c r="M3" s="36" t="n"/>
      <c r="N3" s="36" t="inlineStr">
        <is>
          <t>[T1 | Phase 1 | Claude] static code/config/migration review, file:line evidence</t>
        </is>
      </c>
    </row>
    <row r="4" ht="22.35" customHeight="1" s="29">
      <c r="A4" s="37" t="inlineStr">
        <is>
          <t>SEC-0002</t>
        </is>
      </c>
      <c r="B4" s="53" t="inlineStr">
        <is>
          <t>P0</t>
        </is>
      </c>
      <c r="C4" s="37" t="inlineStr">
        <is>
          <t>DB</t>
        </is>
      </c>
      <c r="D4" s="37" t="inlineStr">
        <is>
          <t>RLS blocks cross-user reads on every user table</t>
        </is>
      </c>
      <c r="E4" s="37" t="inlineStr">
        <is>
          <t>RLS is the last line against data leaks. A gap lets one user read another's rows.</t>
        </is>
      </c>
      <c r="F4" s="37" t="inlineStr">
        <is>
          <t>Two accounts and their JWTs.</t>
        </is>
      </c>
      <c r="G4" s="37" t="inlineStr">
        <is>
          <t>1) For key user-scoped tables (mastery, chat, payments, reports), attempt to read user B's rows using user A's session. 2) Observe.</t>
        </is>
      </c>
      <c r="H4" s="37" t="inlineStr">
        <is>
          <t>Every attempt returns only the caller's own rows; no cross-user leakage on any tested table.</t>
        </is>
      </c>
      <c r="I4" s="37" t="inlineStr">
        <is>
          <t>Query results per table</t>
        </is>
      </c>
      <c r="J4" s="43" t="inlineStr">
        <is>
          <t>NOT RUN</t>
        </is>
      </c>
      <c r="K4" s="37" t="inlineStr">
        <is>
          <t>Claude (pending env)</t>
        </is>
      </c>
      <c r="L4" s="37" t="n"/>
      <c r="M4" s="37" t="n"/>
      <c r="N4" s="37" t="inlineStr">
        <is>
          <t>[T3 | Phase 3 | Claude (pending env)] parametrized SQL probe via live/staging Supabase. awaiting live/staging Supabase read access + A/B test accounts</t>
        </is>
      </c>
    </row>
    <row r="5" ht="32.8" customHeight="1" s="29">
      <c r="A5" s="36" t="inlineStr">
        <is>
          <t>SEC-0003</t>
        </is>
      </c>
      <c r="B5" s="53" t="inlineStr">
        <is>
          <t>P0</t>
        </is>
      </c>
      <c r="C5" s="36" t="inlineStr">
        <is>
          <t>Backend</t>
        </is>
      </c>
      <c r="D5" s="36" t="inlineStr">
        <is>
          <t>Destructive anon-executable functions locked down</t>
        </is>
      </c>
      <c r="E5" s="36" t="inlineStr">
        <is>
          <t>SECURITY DEFINER functions callable by 'anon' (e.g. delete_student_account) are a catastrophic surface if they don't check auth internally.</t>
        </is>
      </c>
      <c r="F5" s="36" t="inlineStr">
        <is>
          <t>The list of anon-executable SECURITY DEFINER functions.</t>
        </is>
      </c>
      <c r="G5" s="36" t="inlineStr">
        <is>
          <t>1) Take the top-10 destructive functions. 2) For each, attempt to call it as anon/low-priv. 3) Confirm it refuses or that EXECUTE is revoked from anon where unneeded.</t>
        </is>
      </c>
      <c r="H5" s="36" t="inlineStr">
        <is>
          <t>No destructive function is executable by anon without an internal auth check; unneeded grants revoked.</t>
        </is>
      </c>
      <c r="I5" s="36" t="inlineStr">
        <is>
          <t>Per-function test result</t>
        </is>
      </c>
      <c r="J5" s="41" t="inlineStr">
        <is>
          <t>NOT RUN</t>
        </is>
      </c>
      <c r="K5" s="36" t="inlineStr">
        <is>
          <t>Claude</t>
        </is>
      </c>
      <c r="L5" s="36" t="inlineStr">
        <is>
          <t>2026-08-04</t>
        </is>
      </c>
      <c r="M5" s="36" t="inlineStr">
        <is>
          <t>QA-FIND-002</t>
        </is>
      </c>
      <c r="N5" s="36" t="inlineStr">
        <is>
          <t>FINDING: baseline has SECURITY DEFINER fns but 0 explicit REVOKE-from-anon; positive confirmation that no destructive fn is anon-executable required (architect). Evidence: evidence/T1_static_findings.txt.</t>
        </is>
      </c>
    </row>
    <row r="6" ht="32.8" customHeight="1" s="29">
      <c r="A6" s="37" t="inlineStr">
        <is>
          <t>SEC-0004</t>
        </is>
      </c>
      <c r="B6" s="54" t="inlineStr">
        <is>
          <t>P1</t>
        </is>
      </c>
      <c r="C6" s="37" t="inlineStr">
        <is>
          <t>Backend</t>
        </is>
      </c>
      <c r="D6" s="37" t="inlineStr">
        <is>
          <t>Input validation at every boundary</t>
        </is>
      </c>
      <c r="E6" s="37" t="inlineStr">
        <is>
          <t>Malformed input must be rejected with structured errors, never crash or fall through. UUIDs validated, payloads schema-checked.</t>
        </is>
      </c>
      <c r="F6" s="37" t="inlineStr">
        <is>
          <t>A set of endpoints/Edge Functions.</t>
        </is>
      </c>
      <c r="G6" s="37" t="inlineStr">
        <is>
          <t>1) Send malformed UUIDs, missing fields, wrong types, oversized payloads to key endpoints. 2) Observe.</t>
        </is>
      </c>
      <c r="H6" s="37" t="inlineStr">
        <is>
          <t>Each returns a structured validation error; none crashes, hangs, or processes bad data.</t>
        </is>
      </c>
      <c r="I6" s="37" t="inlineStr">
        <is>
          <t>Request/response set</t>
        </is>
      </c>
      <c r="J6" s="43" t="inlineStr">
        <is>
          <t>NOT RUN</t>
        </is>
      </c>
      <c r="K6" s="37" t="inlineStr">
        <is>
          <t>Claude</t>
        </is>
      </c>
      <c r="L6" s="37" t="n"/>
      <c r="M6" s="37" t="n"/>
      <c r="N6" s="37" t="inlineStr">
        <is>
          <t>[T1 | Phase 1 | Claude] static code/config/migration review, file:line evidence</t>
        </is>
      </c>
    </row>
    <row r="7" ht="22.35" customHeight="1" s="29">
      <c r="A7" s="36" t="inlineStr">
        <is>
          <t>SEC-0005</t>
        </is>
      </c>
      <c r="B7" s="54" t="inlineStr">
        <is>
          <t>P1</t>
        </is>
      </c>
      <c r="C7" s="36" t="inlineStr">
        <is>
          <t>Backend</t>
        </is>
      </c>
      <c r="D7" s="36" t="inlineStr">
        <is>
          <t>Admin actions are audit-logged</t>
        </is>
      </c>
      <c r="E7" s="36" t="inlineStr">
        <is>
          <t>Admin actions without an audit trail defeat accountability.</t>
        </is>
      </c>
      <c r="F7" s="36" t="inlineStr">
        <is>
          <t>Admin accounts.</t>
        </is>
      </c>
      <c r="G7" s="36" t="inlineStr">
        <is>
          <t>1) Perform representative admin actions. 2) Confirm each writes an audit_logs row with actor/action/target/time.</t>
        </is>
      </c>
      <c r="H7" s="36" t="inlineStr">
        <is>
          <t>Every audit-relevant admin action writes a complete audit row.</t>
        </is>
      </c>
      <c r="I7" s="36" t="inlineStr">
        <is>
          <t>audit_logs SQL</t>
        </is>
      </c>
      <c r="J7" s="41" t="inlineStr">
        <is>
          <t>NOT RUN</t>
        </is>
      </c>
      <c r="K7" s="36" t="inlineStr">
        <is>
          <t>Claude</t>
        </is>
      </c>
      <c r="L7" s="36" t="n"/>
      <c r="M7" s="36" t="n"/>
      <c r="N7" s="36" t="inlineStr">
        <is>
          <t>[T1 | Phase 1 | Claude] static code/config/migration review, file:line evidence</t>
        </is>
      </c>
    </row>
    <row r="8" ht="22.35" customHeight="1" s="29">
      <c r="A8" s="37" t="inlineStr">
        <is>
          <t>SEC-0006</t>
        </is>
      </c>
      <c r="B8" s="54" t="inlineStr">
        <is>
          <t>P1</t>
        </is>
      </c>
      <c r="C8" s="37" t="inlineStr">
        <is>
          <t>Backend</t>
        </is>
      </c>
      <c r="D8" s="37" t="inlineStr">
        <is>
          <t>No secrets/schema leaked to client</t>
        </is>
      </c>
      <c r="E8" s="37" t="inlineStr">
        <is>
          <t>Error responses must not leak stack traces, schema names, or secrets.</t>
        </is>
      </c>
      <c r="F8" s="37" t="inlineStr">
        <is>
          <t>Trigger server errors.</t>
        </is>
      </c>
      <c r="G8" s="37" t="inlineStr">
        <is>
          <t>1) Force a few server errors. 2) Inspect the client-visible response.</t>
        </is>
      </c>
      <c r="H8" s="37" t="inlineStr">
        <is>
          <t>Client sees a safe structured error; no stack trace, schema name, or secret leaks.</t>
        </is>
      </c>
      <c r="I8" s="37" t="inlineStr">
        <is>
          <t>Response captures</t>
        </is>
      </c>
      <c r="J8" s="43" t="inlineStr">
        <is>
          <t>NOT RUN</t>
        </is>
      </c>
      <c r="K8" s="37" t="inlineStr">
        <is>
          <t>Claude</t>
        </is>
      </c>
      <c r="L8" s="37" t="n"/>
      <c r="M8" s="37" t="n"/>
      <c r="N8" s="37" t="inlineStr">
        <is>
          <t>[T1 | Phase 1 | Claude] static code/config/migration review, file:line evidence</t>
        </is>
      </c>
    </row>
    <row r="9" ht="43.25" customHeight="1" s="29">
      <c r="A9" s="36" t="inlineStr">
        <is>
          <t>SEC-0007</t>
        </is>
      </c>
      <c r="B9" s="54" t="inlineStr">
        <is>
          <t>P1</t>
        </is>
      </c>
      <c r="C9" s="36" t="inlineStr">
        <is>
          <t>Backend</t>
        </is>
      </c>
      <c r="D9" s="36" t="inlineStr">
        <is>
          <t>deny-rule / agent-boundary assumptions verified</t>
        </is>
      </c>
      <c r="E9" s="36" t="inlineStr">
        <is>
          <t>Claude Code 'deny' rules are unreliable as a security boundary (upstream #8961/#30519). Any safety property attributed to them must be re-verified or enforced at the Supabase/IAM boundary.</t>
        </is>
      </c>
      <c r="F9" s="36" t="inlineStr">
        <is>
          <t>The repo/agent config.</t>
        </is>
      </c>
      <c r="G9" s="36" t="inlineStr">
        <is>
          <t>1) Confirm no production credential files (.env.production.*) exist in any working tree where agent sessions run. 2) Confirm real controls (RLS, read-only DB role for agents, IAM) enforce what 'deny' rules were assumed to.</t>
        </is>
      </c>
      <c r="H9" s="36" t="inlineStr">
        <is>
          <t>No prod creds in the tree; access is enforced at RLS/IAM, not by deny rules.</t>
        </is>
      </c>
      <c r="I9" s="36" t="inlineStr">
        <is>
          <t>Filesystem check + policy review</t>
        </is>
      </c>
      <c r="J9" s="41" t="inlineStr">
        <is>
          <t>NOT RUN</t>
        </is>
      </c>
      <c r="K9" s="36" t="inlineStr">
        <is>
          <t>Claude</t>
        </is>
      </c>
      <c r="L9" s="36" t="n"/>
      <c r="M9" s="36" t="n"/>
      <c r="N9" s="36" t="inlineStr">
        <is>
          <t>[T1 | Phase 1 | Claude] static code/config/migration review, file:line evidence</t>
        </is>
      </c>
    </row>
    <row r="10" ht="22.35" customHeight="1" s="29">
      <c r="A10" s="37" t="inlineStr">
        <is>
          <t>SEC-0008</t>
        </is>
      </c>
      <c r="B10" s="55" t="inlineStr">
        <is>
          <t>P2</t>
        </is>
      </c>
      <c r="C10" s="37" t="inlineStr">
        <is>
          <t>DB</t>
        </is>
      </c>
      <c r="D10" s="37" t="inlineStr">
        <is>
          <t>Scaffold/tutorial tables &amp; public buckets reviewed</t>
        </is>
      </c>
      <c r="E10" s="37" t="inlineStr">
        <is>
          <t>Leftover demo tables (users/posts/comments) and public storage buckets that allow listing are leak/duplication risks.</t>
        </is>
      </c>
      <c r="F10" s="37" t="inlineStr">
        <is>
          <t>DB + storage access.</t>
        </is>
      </c>
      <c r="G10" s="37" t="inlineStr">
        <is>
          <t>1) Confirm scaffold tables are removed or RLS-locked. 2) Review public bucket listing (cms-media, ncert-books) and decide/enforce per policy.</t>
        </is>
      </c>
      <c r="H10" s="37" t="inlineStr">
        <is>
          <t>Scaffold tables handled; bucket listing set per an explicit decision (no accidental public listing).</t>
        </is>
      </c>
      <c r="I10" s="37" t="inlineStr">
        <is>
          <t>Table/bucket state evidence</t>
        </is>
      </c>
      <c r="J10" s="43" t="inlineStr">
        <is>
          <t>NOT RUN</t>
        </is>
      </c>
      <c r="K10" s="37" t="inlineStr">
        <is>
          <t>Claude</t>
        </is>
      </c>
      <c r="L10" s="37" t="n"/>
      <c r="M10" s="37" t="n"/>
      <c r="N10" s="37" t="inlineStr">
        <is>
          <t>[T1 | Phase 1 | Claude] static code/config/migration review, file:line evidence</t>
        </is>
      </c>
    </row>
  </sheetData>
  <autoFilter ref="A2:N10"/>
  <mergeCells count="1">
    <mergeCell ref="A1:N1"/>
  </mergeCells>
  <conditionalFormatting sqref="J3:J10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10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N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17 · Multilingual (English + Hindi)   —   4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22.35" customHeight="1" s="29">
      <c r="A3" s="36" t="inlineStr">
        <is>
          <t>I18N-0001</t>
        </is>
      </c>
      <c r="B3" s="53" t="inlineStr">
        <is>
          <t>P0</t>
        </is>
      </c>
      <c r="C3" s="36" t="inlineStr">
        <is>
          <t>Backend</t>
        </is>
      </c>
      <c r="D3" s="36" t="inlineStr">
        <is>
          <t>Hindi retrieval is language-filtered</t>
        </is>
      </c>
      <c r="E3" s="36" t="inlineStr">
        <is>
          <t>Hindi must retrieve Hindi content, not English filtered by luck. A silent English answer breaks the vernacular promise.</t>
        </is>
      </c>
      <c r="F3" s="36" t="inlineStr">
        <is>
          <t>A Hindi-indexed topic.</t>
        </is>
      </c>
      <c r="G3" s="36" t="inlineStr">
        <is>
          <t>1) Ask/quiz in Hindi on an indexed topic. 2) Confirm retrieval filtered language='hi' and Hindi content returned.</t>
        </is>
      </c>
      <c r="H3" s="36" t="inlineStr">
        <is>
          <t>Hindi content served for Hindi requests where indexed; retrieval filter honored.</t>
        </is>
      </c>
      <c r="I3" s="36" t="inlineStr">
        <is>
          <t>Chat/quiz screenshot + retrieval trace</t>
        </is>
      </c>
      <c r="J3" s="41" t="inlineStr">
        <is>
          <t>NOT RUN</t>
        </is>
      </c>
      <c r="K3" s="36" t="inlineStr">
        <is>
          <t>Claude</t>
        </is>
      </c>
      <c r="L3" s="36" t="n"/>
      <c r="M3" s="36" t="inlineStr">
        <is>
          <t>QA-FIND-001</t>
        </is>
      </c>
      <c r="N3" s="36" t="inlineStr">
        <is>
          <t>[T1 | Phase 1 | Claude] static code/config/migration review, file:line evidence | linked QA-FIND-001 (LANGUAGE_GAP not implemented; confirm live).</t>
        </is>
      </c>
    </row>
    <row r="4" ht="22.35" customHeight="1" s="29">
      <c r="A4" s="37" t="inlineStr">
        <is>
          <t>I18N-0002</t>
        </is>
      </c>
      <c r="B4" s="54" t="inlineStr">
        <is>
          <t>P1</t>
        </is>
      </c>
      <c r="C4" s="37" t="inlineStr">
        <is>
          <t>Backend</t>
        </is>
      </c>
      <c r="D4" s="37" t="inlineStr">
        <is>
          <t>LANGUAGE_GAP, never silent substitution</t>
        </is>
      </c>
      <c r="E4" s="37" t="inlineStr">
        <is>
          <t>When Hindi content is missing, the user must be told and offered English — not silently given English.</t>
        </is>
      </c>
      <c r="F4" s="37" t="inlineStr">
        <is>
          <t>A topic with no Hindi content.</t>
        </is>
      </c>
      <c r="G4" s="37" t="inlineStr">
        <is>
          <t>1) Ask in Hindi on a non-Hindi-indexed topic. 2) Observe.</t>
        </is>
      </c>
      <c r="H4" s="37" t="inlineStr">
        <is>
          <t>Explicit LANGUAGE_GAP with an English option; no silent substitution.</t>
        </is>
      </c>
      <c r="I4" s="37" t="inlineStr">
        <is>
          <t>Screenshot</t>
        </is>
      </c>
      <c r="J4" s="43" t="inlineStr">
        <is>
          <t>NOT RUN</t>
        </is>
      </c>
      <c r="K4" s="37" t="inlineStr">
        <is>
          <t>Claude</t>
        </is>
      </c>
      <c r="L4" s="37" t="n"/>
      <c r="M4" s="37" t="inlineStr">
        <is>
          <t>QA-FIND-001</t>
        </is>
      </c>
      <c r="N4" s="37" t="inlineStr">
        <is>
          <t>[T1 | Phase 1 | Claude] static code/config/migration review, file:line evidence. FINDING: LANGUAGE_GAP not implemented in code (docs only) -&gt; candidate P-defect, not auto-PASS | linked QA-FIND-001 (LANGUAGE_GAP not implemented; confirm live).</t>
        </is>
      </c>
    </row>
    <row r="5" ht="22.35" customHeight="1" s="29">
      <c r="A5" s="36" t="inlineStr">
        <is>
          <t>I18N-0003</t>
        </is>
      </c>
      <c r="B5" s="55" t="inlineStr">
        <is>
          <t>P2</t>
        </is>
      </c>
      <c r="C5" s="36" t="inlineStr">
        <is>
          <t>Frontend</t>
        </is>
      </c>
      <c r="D5" s="36" t="inlineStr">
        <is>
          <t>Devanagari renders on low-end devices</t>
        </is>
      </c>
      <c r="E5" s="36" t="inlineStr">
        <is>
          <t>Many students use low-end shared devices. Broken Hindi rendering makes the app unusable for them.</t>
        </is>
      </c>
      <c r="F5" s="36" t="inlineStr">
        <is>
          <t>A low-end device or emulator.</t>
        </is>
      </c>
      <c r="G5" s="36" t="inlineStr">
        <is>
          <t>1) Render Hindi content and UI on a low-end device. 2) Check for mojibake/clipping.</t>
        </is>
      </c>
      <c r="H5" s="36" t="inlineStr">
        <is>
          <t>Devanagari renders cleanly; no garbled text or clipping.</t>
        </is>
      </c>
      <c r="I5" s="36" t="inlineStr">
        <is>
          <t>Device screenshots</t>
        </is>
      </c>
      <c r="J5" s="41" t="inlineStr">
        <is>
          <t>NOT RUN</t>
        </is>
      </c>
      <c r="K5" s="36" t="inlineStr">
        <is>
          <t>Claude</t>
        </is>
      </c>
      <c r="L5" s="36" t="n"/>
      <c r="M5" s="36" t="n"/>
      <c r="N5" s="36" t="inlineStr">
        <is>
          <t>[T1 | Phase 1 | Claude] static code/config/migration review, file:line evidence</t>
        </is>
      </c>
    </row>
    <row r="6" ht="22.35" customHeight="1" s="29">
      <c r="A6" s="37" t="inlineStr">
        <is>
          <t>I18N-0004</t>
        </is>
      </c>
      <c r="B6" s="55" t="inlineStr">
        <is>
          <t>P2</t>
        </is>
      </c>
      <c r="C6" s="37" t="inlineStr">
        <is>
          <t>Frontend</t>
        </is>
      </c>
      <c r="D6" s="37" t="inlineStr">
        <is>
          <t>No hardcoded user-facing strings</t>
        </is>
      </c>
      <c r="E6" s="37" t="inlineStr">
        <is>
          <t>Hardcoded strings block future languages and cause English leakage in Hindi UI.</t>
        </is>
      </c>
      <c r="F6" s="37" t="inlineStr">
        <is>
          <t>The Hindi UI.</t>
        </is>
      </c>
      <c r="G6" s="37" t="inlineStr">
        <is>
          <t>1) Switch UI to Hindi. 2) Scan for untranslated/hardcoded English strings.</t>
        </is>
      </c>
      <c r="H6" s="37" t="inlineStr">
        <is>
          <t>UI strings route through i18n; no stray hardcoded English in Hindi mode (or known gaps are listed).</t>
        </is>
      </c>
      <c r="I6" s="37" t="inlineStr">
        <is>
          <t>Screenshot set + gap list</t>
        </is>
      </c>
      <c r="J6" s="43" t="inlineStr">
        <is>
          <t>NOT RUN</t>
        </is>
      </c>
      <c r="K6" s="37" t="inlineStr">
        <is>
          <t>Claude</t>
        </is>
      </c>
      <c r="L6" s="37" t="n"/>
      <c r="M6" s="37" t="inlineStr">
        <is>
          <t>QA-FIND-001</t>
        </is>
      </c>
      <c r="N6" s="37" t="inlineStr">
        <is>
          <t>[T1 | Phase 1 | Claude] static code/config/migration review, file:line evidence | linked QA-FIND-001 (LANGUAGE_GAP not implemented; confirm live).</t>
        </is>
      </c>
    </row>
  </sheetData>
  <autoFilter ref="A2:N6"/>
  <mergeCells count="1">
    <mergeCell ref="A1:N1"/>
  </mergeCells>
  <conditionalFormatting sqref="J3:J6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6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N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18 · Performance &amp; Scale   —   4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22.35" customHeight="1" s="29">
      <c r="A3" s="36" t="inlineStr">
        <is>
          <t>PERF-0001</t>
        </is>
      </c>
      <c r="B3" s="54" t="inlineStr">
        <is>
          <t>P1</t>
        </is>
      </c>
      <c r="C3" s="36" t="inlineStr">
        <is>
          <t>Backend</t>
        </is>
      </c>
      <c r="D3" s="36" t="inlineStr">
        <is>
          <t>Load sanity at ~3× current peak</t>
        </is>
      </c>
      <c r="E3" s="36" t="inlineStr">
        <is>
          <t>Launch and exam evenings spike traffic. The core paths must hold at several times current peak without falling over.</t>
        </is>
      </c>
      <c r="F3" s="36" t="inlineStr">
        <is>
          <t>Preview/staging infra and a load script.</t>
        </is>
      </c>
      <c r="G3" s="36" t="inlineStr">
        <is>
          <t>1) Drive ~3× current peak at quiz-submit and Foxy. 2) Watch p95 latency, DB connections, MOL error rate.</t>
        </is>
      </c>
      <c r="H3" s="36" t="inlineStr">
        <is>
          <t>p95 stays within target; DB connections don't saturate; AI error rate stays low; no cascading failures.</t>
        </is>
      </c>
      <c r="I3" s="36" t="inlineStr">
        <is>
          <t>Load test report</t>
        </is>
      </c>
      <c r="J3" s="41" t="inlineStr">
        <is>
          <t>NOT RUN</t>
        </is>
      </c>
      <c r="K3" s="36" t="inlineStr">
        <is>
          <t>Claude (pending env)</t>
        </is>
      </c>
      <c r="L3" s="36" t="n"/>
      <c r="M3" s="36" t="n"/>
      <c r="N3" s="36" t="inlineStr">
        <is>
          <t>[T4 | Phase 4 | Claude (pending env)] Playwright/authenticated-API against running env. awaiting running staging URL + test accounts</t>
        </is>
      </c>
    </row>
    <row r="4" ht="32.8" customHeight="1" s="29">
      <c r="A4" s="37" t="inlineStr">
        <is>
          <t>PERF-0002</t>
        </is>
      </c>
      <c r="B4" s="54" t="inlineStr">
        <is>
          <t>P1</t>
        </is>
      </c>
      <c r="C4" s="37" t="inlineStr">
        <is>
          <t>DB</t>
        </is>
      </c>
      <c r="D4" s="37" t="inlineStr">
        <is>
          <t>Hot tables indexed; no unbounded queries</t>
        </is>
      </c>
      <c r="E4" s="37" t="inlineStr">
        <is>
          <t>Missing indexes on hot FKs and unpaginated lists cause tail-latency blowups under load.</t>
        </is>
      </c>
      <c r="F4" s="37" t="inlineStr">
        <is>
          <t>DB + query access.</t>
        </is>
      </c>
      <c r="G4" s="37" t="inlineStr">
        <is>
          <t>1) Confirm indexes on the hot-table FKs used in WHERE/ORDER BY. 2) Confirm all list endpoints paginate (≤50 default/≤200 max). 3) Spot-check for select *.</t>
        </is>
      </c>
      <c r="H4" s="37" t="inlineStr">
        <is>
          <t>Hot FKs indexed; every list paginated; no unbounded/select-* on hot paths.</t>
        </is>
      </c>
      <c r="I4" s="37" t="inlineStr">
        <is>
          <t>Index list + endpoint review</t>
        </is>
      </c>
      <c r="J4" s="43" t="inlineStr">
        <is>
          <t>NOT RUN</t>
        </is>
      </c>
      <c r="K4" s="37" t="inlineStr">
        <is>
          <t>Claude (pending env)</t>
        </is>
      </c>
      <c r="L4" s="37" t="n"/>
      <c r="M4" s="37" t="n"/>
      <c r="N4" s="37" t="inlineStr">
        <is>
          <t>[T4 | Phase 4 | Claude (pending env)] Playwright/authenticated-API against running env. awaiting running staging URL + test accounts</t>
        </is>
      </c>
    </row>
    <row r="5" ht="22.35" customHeight="1" s="29">
      <c r="A5" s="36" t="inlineStr">
        <is>
          <t>PERF-0003</t>
        </is>
      </c>
      <c r="B5" s="55" t="inlineStr">
        <is>
          <t>P2</t>
        </is>
      </c>
      <c r="C5" s="36" t="inlineStr">
        <is>
          <t>DB</t>
        </is>
      </c>
      <c r="D5" s="36" t="inlineStr">
        <is>
          <t>pgvector uses an HNSW index with filter coverage</t>
        </is>
      </c>
      <c r="E5" s="36" t="inlineStr">
        <is>
          <t>Filtered similarity that falls back to a sequential scan gets slow as the index grows.</t>
        </is>
      </c>
      <c r="F5" s="36" t="inlineStr">
        <is>
          <t>DB access.</t>
        </is>
      </c>
      <c r="G5" s="36" t="inlineStr">
        <is>
          <t>1) Confirm an HNSW index on rag_content_chunks. 2) Confirm filter columns are covered so filtered similarity doesn't seq-scan.</t>
        </is>
      </c>
      <c r="H5" s="36" t="inlineStr">
        <is>
          <t>HNSW index present; filtered retrieval uses the index.</t>
        </is>
      </c>
      <c r="I5" s="36" t="inlineStr">
        <is>
          <t>Index/EXPLAIN evidence</t>
        </is>
      </c>
      <c r="J5" s="41" t="inlineStr">
        <is>
          <t>NOT RUN</t>
        </is>
      </c>
      <c r="K5" s="36" t="inlineStr">
        <is>
          <t>Claude (pending env)</t>
        </is>
      </c>
      <c r="L5" s="36" t="n"/>
      <c r="M5" s="36" t="n"/>
      <c r="N5" s="36" t="inlineStr">
        <is>
          <t>[T4 | Phase 4 | Claude (pending env)] Playwright/authenticated-API against running env. awaiting running staging URL + test accounts</t>
        </is>
      </c>
    </row>
    <row r="6" ht="22.35" customHeight="1" s="29">
      <c r="A6" s="37" t="inlineStr">
        <is>
          <t>PERF-0004</t>
        </is>
      </c>
      <c r="B6" s="55" t="inlineStr">
        <is>
          <t>P2</t>
        </is>
      </c>
      <c r="C6" s="37" t="inlineStr">
        <is>
          <t>Backend</t>
        </is>
      </c>
      <c r="D6" s="37" t="inlineStr">
        <is>
          <t>Dashboards read projections, not live folds</t>
        </is>
      </c>
      <c r="E6" s="37" t="inlineStr">
        <is>
          <t>Folding events at request time doesn't scale. Dashboards must read pre-computed read models.</t>
        </is>
      </c>
      <c r="F6" s="37" t="inlineStr">
        <is>
          <t>Dashboard code/behavior.</t>
        </is>
      </c>
      <c r="G6" s="37" t="inlineStr">
        <is>
          <t>1) Confirm dashboards read learner_mastery/concept_mastery/rollups, not live event folds.</t>
        </is>
      </c>
      <c r="H6" s="37" t="inlineStr">
        <is>
          <t>Dashboards read projections; no per-request event folding.</t>
        </is>
      </c>
      <c r="I6" s="37" t="inlineStr">
        <is>
          <t>Code/behavior note</t>
        </is>
      </c>
      <c r="J6" s="43" t="inlineStr">
        <is>
          <t>NOT RUN</t>
        </is>
      </c>
      <c r="K6" s="37" t="inlineStr">
        <is>
          <t>Claude (pending env)</t>
        </is>
      </c>
      <c r="L6" s="37" t="n"/>
      <c r="M6" s="37" t="n"/>
      <c r="N6" s="37" t="inlineStr">
        <is>
          <t>[T4 | Phase 4 | Claude (pending env)] Playwright/authenticated-API against running env. awaiting running staging URL + test accounts</t>
        </is>
      </c>
    </row>
  </sheetData>
  <autoFilter ref="A2:N6"/>
  <mergeCells count="1">
    <mergeCell ref="A1:N1"/>
  </mergeCells>
  <conditionalFormatting sqref="J3:J6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6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N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19 · Cross-Cutting Seams (all in ONE rehearsal run)   —   5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32.8" customHeight="1" s="29">
      <c r="A3" s="36" t="inlineStr">
        <is>
          <t>SEAM-0001</t>
        </is>
      </c>
      <c r="B3" s="53" t="inlineStr">
        <is>
          <t>P0</t>
        </is>
      </c>
      <c r="C3" s="36" t="inlineStr">
        <is>
          <t>Full-stack</t>
        </is>
      </c>
      <c r="D3" s="36" t="inlineStr">
        <is>
          <t>Seam 1: Quiz → Teacher heatmap → Parent report</t>
        </is>
      </c>
      <c r="E3" s="36" t="inlineStr">
        <is>
          <t>The same student activity must show identical numbers in three places. Divergence means the surfaces read different sources — a systemic defect.</t>
        </is>
      </c>
      <c r="F3" s="36" t="inlineStr">
        <is>
          <t>One student in a teacher's class with a linked parent.</t>
        </is>
      </c>
      <c r="G3" s="36" t="inlineStr">
        <is>
          <t>1) Student completes quizzes (Day-3 activity). 2) Open the teacher heatmap for that student. 3) Open the parent weekly report for the same period. 4) Compare all three.</t>
        </is>
      </c>
      <c r="H3" s="36" t="inlineStr">
        <is>
          <t>Student dashboard, teacher heatmap, and parent report show the SAME numbers for the same period.</t>
        </is>
      </c>
      <c r="I3" s="36" t="inlineStr">
        <is>
          <t>Three screenshots with matching figures</t>
        </is>
      </c>
      <c r="J3" s="41" t="inlineStr">
        <is>
          <t>NOT RUN</t>
        </is>
      </c>
      <c r="K3" s="36" t="inlineStr">
        <is>
          <t>Claude (pending env)</t>
        </is>
      </c>
      <c r="L3" s="36" t="n"/>
      <c r="M3" s="36" t="n"/>
      <c r="N3" s="36" t="inlineStr">
        <is>
          <t>[T4 | Phase 4 | Claude (pending env)] Playwright/authenticated-API against running env. awaiting running staging URL + test accounts</t>
        </is>
      </c>
    </row>
    <row r="4" ht="32.8" customHeight="1" s="29">
      <c r="A4" s="37" t="inlineStr">
        <is>
          <t>SEAM-0002</t>
        </is>
      </c>
      <c r="B4" s="53" t="inlineStr">
        <is>
          <t>P0</t>
        </is>
      </c>
      <c r="C4" s="37" t="inlineStr">
        <is>
          <t>Full-stack</t>
        </is>
      </c>
      <c r="D4" s="37" t="inlineStr">
        <is>
          <t>Seam 2: Payment → Entitlement → Quota → AI access</t>
        </is>
      </c>
      <c r="E4" s="37" t="inlineStr">
        <is>
          <t>Money must change capability immediately and by exactly the plan.</t>
        </is>
      </c>
      <c r="F4" s="37" t="inlineStr">
        <is>
          <t>A test purchaser.</t>
        </is>
      </c>
      <c r="G4" s="37" t="inlineStr">
        <is>
          <t>1) Note pre-payment Foxy/quiz limits. 2) Complete the live payment. 3) Confirm entitlements/limits change to exactly the plan's, immediately.</t>
        </is>
      </c>
      <c r="H4" s="37" t="inlineStr">
        <is>
          <t>Post-payment capability matches the plan precisely and instantly.</t>
        </is>
      </c>
      <c r="I4" s="37" t="inlineStr">
        <is>
          <t>Before/after capability evidence</t>
        </is>
      </c>
      <c r="J4" s="43" t="inlineStr">
        <is>
          <t>NOT RUN</t>
        </is>
      </c>
      <c r="K4" s="37" t="inlineStr">
        <is>
          <t>Claude (pending env)</t>
        </is>
      </c>
      <c r="L4" s="37" t="n"/>
      <c r="M4" s="37" t="n"/>
      <c r="N4" s="37" t="inlineStr">
        <is>
          <t>[T4 | Phase 4 | Claude (pending env)] Playwright/authenticated-API against running env. awaiting running staging URL + test accounts</t>
        </is>
      </c>
    </row>
    <row r="5" ht="22.35" customHeight="1" s="29">
      <c r="A5" s="36" t="inlineStr">
        <is>
          <t>SEAM-0003</t>
        </is>
      </c>
      <c r="B5" s="53" t="inlineStr">
        <is>
          <t>P0</t>
        </is>
      </c>
      <c r="C5" s="36" t="inlineStr">
        <is>
          <t>Full-stack</t>
        </is>
      </c>
      <c r="D5" s="36" t="inlineStr">
        <is>
          <t>Seam 3: Teacher remediation → Student Today</t>
        </is>
      </c>
      <c r="E5" s="36" t="inlineStr">
        <is>
          <t>A teacher's assignment must reach the student's plan within one resolver cycle.</t>
        </is>
      </c>
      <c r="F5" s="36" t="inlineStr">
        <is>
          <t>A teacher and a student in the class.</t>
        </is>
      </c>
      <c r="G5" s="36" t="inlineStr">
        <is>
          <t>1) Teacher assigns remediation. 2) Within one resolver cycle, student opens Today. 3) Confirm the item appears.</t>
        </is>
      </c>
      <c r="H5" s="36" t="inlineStr">
        <is>
          <t>Remediation appears in the student's next-action within one cycle.</t>
        </is>
      </c>
      <c r="I5" s="36" t="inlineStr">
        <is>
          <t>Teacher + student screenshots</t>
        </is>
      </c>
      <c r="J5" s="41" t="inlineStr">
        <is>
          <t>NOT RUN</t>
        </is>
      </c>
      <c r="K5" s="36" t="inlineStr">
        <is>
          <t>Claude (pending env)</t>
        </is>
      </c>
      <c r="L5" s="36" t="n"/>
      <c r="M5" s="36" t="n"/>
      <c r="N5" s="36" t="inlineStr">
        <is>
          <t>[T4 | Phase 4 | Claude (pending env)] Playwright/authenticated-API against running env. awaiting running staging URL + test accounts</t>
        </is>
      </c>
    </row>
    <row r="6" ht="32.8" customHeight="1" s="29">
      <c r="A6" s="37" t="inlineStr">
        <is>
          <t>SEAM-0004</t>
        </is>
      </c>
      <c r="B6" s="53" t="inlineStr">
        <is>
          <t>P0</t>
        </is>
      </c>
      <c r="C6" s="37" t="inlineStr">
        <is>
          <t>Full-stack</t>
        </is>
      </c>
      <c r="D6" s="37" t="inlineStr">
        <is>
          <t>Seam 4: Event-bus health after the full run</t>
        </is>
      </c>
      <c r="E6" s="37" t="inlineStr">
        <is>
          <t>After the whole rehearsal, the event backbone must be healthy — no lag, no growing dead letters, no BKT mismatch.</t>
        </is>
      </c>
      <c r="F6" s="37" t="inlineStr">
        <is>
          <t>Completion of the full rehearsal.</t>
        </is>
      </c>
      <c r="G6" s="37" t="inlineStr">
        <is>
          <t>1) After the run, measure projector lag (max state_events.created_at − projector offset). 2) Check dead-letter count vs baseline. 3) Run the BKT invariant.</t>
        </is>
      </c>
      <c r="H6" s="37" t="inlineStr">
        <is>
          <t>Projector lag ≈ 0; dead letters not grown; BKT invariant reports zero mismatches.</t>
        </is>
      </c>
      <c r="I6" s="37" t="inlineStr">
        <is>
          <t>Lag + dead-letter + invariant results</t>
        </is>
      </c>
      <c r="J6" s="43" t="inlineStr">
        <is>
          <t>NOT RUN</t>
        </is>
      </c>
      <c r="K6" s="37" t="inlineStr">
        <is>
          <t>Claude (pending env)</t>
        </is>
      </c>
      <c r="L6" s="37" t="n"/>
      <c r="M6" s="37" t="n"/>
      <c r="N6" s="37" t="inlineStr">
        <is>
          <t>[T4 | Phase 4 | Claude (pending env)] Playwright/authenticated-API against running env. awaiting running staging URL + test accounts</t>
        </is>
      </c>
    </row>
    <row r="7" ht="22.35" customHeight="1" s="29">
      <c r="A7" s="36" t="inlineStr">
        <is>
          <t>SEAM-0005</t>
        </is>
      </c>
      <c r="B7" s="54" t="inlineStr">
        <is>
          <t>P1</t>
        </is>
      </c>
      <c r="C7" s="36" t="inlineStr">
        <is>
          <t>Full-stack</t>
        </is>
      </c>
      <c r="D7" s="36" t="inlineStr">
        <is>
          <t>Seam 5: Consent gate → downstream features</t>
        </is>
      </c>
      <c r="E7" s="36" t="inlineStr">
        <is>
          <t>Consent state must actually gate downstream behavior end-to-end, not just be recorded.</t>
        </is>
      </c>
      <c r="F7" s="36" t="inlineStr">
        <is>
          <t>A non-consented and a consented child.</t>
        </is>
      </c>
      <c r="G7" s="36" t="inlineStr">
        <is>
          <t>1) Attempt consent-gated features as each. 2) Compare.</t>
        </is>
      </c>
      <c r="H7" s="36" t="inlineStr">
        <is>
          <t>Consent-gated features work for consented children and are blocked for non-consented ones, consistently.</t>
        </is>
      </c>
      <c r="I7" s="36" t="inlineStr">
        <is>
          <t>Screenshots of both paths</t>
        </is>
      </c>
      <c r="J7" s="41" t="inlineStr">
        <is>
          <t>NOT RUN</t>
        </is>
      </c>
      <c r="K7" s="36" t="inlineStr">
        <is>
          <t>Claude (pending env)</t>
        </is>
      </c>
      <c r="L7" s="36" t="n"/>
      <c r="M7" s="36" t="n"/>
      <c r="N7" s="36" t="inlineStr">
        <is>
          <t>[T4 | Phase 4 | Claude (pending env)] Playwright/authenticated-API against running env. awaiting running staging URL + test accounts</t>
        </is>
      </c>
    </row>
  </sheetData>
  <autoFilter ref="A2:N7"/>
  <mergeCells count="1">
    <mergeCell ref="A1:N1"/>
  </mergeCells>
  <conditionalFormatting sqref="J3:J7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7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20 · Regression — Known Incidents Must Not Recur   —   6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22.35" customHeight="1" s="29">
      <c r="A3" s="36" t="inlineStr">
        <is>
          <t>REG-0001</t>
        </is>
      </c>
      <c r="B3" s="53" t="inlineStr">
        <is>
          <t>P0</t>
        </is>
      </c>
      <c r="C3" s="36" t="inlineStr">
        <is>
          <t>Full-stack</t>
        </is>
      </c>
      <c r="D3" s="36" t="inlineStr">
        <is>
          <t>No dual/duplicate UI for any concern</t>
        </is>
      </c>
      <c r="E3" s="36" t="inlineStr">
        <is>
          <t>The flagship incident: orange legacy and purple new admin UIs both live, routing users at random. Must be provably gone.</t>
        </is>
      </c>
      <c r="F3" s="36" t="inlineStr">
        <is>
          <t>The pinned build's route inventory.</t>
        </is>
      </c>
      <c r="G3" s="36" t="inlineStr">
        <is>
          <t>1) For admin and every major student concern, confirm exactly ONE live implementation. 2) Confirm no legacy screen is still reachable.</t>
        </is>
      </c>
      <c r="H3" s="36" t="inlineStr">
        <is>
          <t>One implementation per concern; zero dual-UI reachability.</t>
        </is>
      </c>
      <c r="I3" s="36" t="inlineStr">
        <is>
          <t>Route inventory + navigation proof</t>
        </is>
      </c>
      <c r="J3" s="41" t="inlineStr">
        <is>
          <t>NOT RUN</t>
        </is>
      </c>
      <c r="K3" s="36" t="inlineStr">
        <is>
          <t>Claude</t>
        </is>
      </c>
      <c r="L3" s="36" t="n"/>
      <c r="M3" s="36" t="n"/>
      <c r="N3" s="36" t="inlineStr">
        <is>
          <t>[T1 | Phase 1 | Claude] static code/config/migration review, file:line evidence</t>
        </is>
      </c>
    </row>
    <row r="4" ht="32.8" customHeight="1" s="29">
      <c r="A4" s="37" t="inlineStr">
        <is>
          <t>REG-0002</t>
        </is>
      </c>
      <c r="B4" s="53" t="inlineStr">
        <is>
          <t>P0</t>
        </is>
      </c>
      <c r="C4" s="37" t="inlineStr">
        <is>
          <t>DB</t>
        </is>
      </c>
      <c r="D4" s="37" t="inlineStr">
        <is>
          <t>BKT writes to the correct column</t>
        </is>
      </c>
      <c r="E4" s="37" t="inlineStr">
        <is>
          <t>The BKT bug wrote mastery to the wrong column, showing ~10% for all students. Inspect the actual write target, not the math.</t>
        </is>
      </c>
      <c r="F4" s="37" t="inlineStr">
        <is>
          <t>The mastery write path.</t>
        </is>
      </c>
      <c r="G4" s="37" t="inlineStr">
        <is>
          <t>1) Inspect tutor_commit_attempt / projector write targets. 2) Confirm posterior mastery lands in the intended column. 3) Confirm no all-students-identical mastery pattern.</t>
        </is>
      </c>
      <c r="H4" s="37" t="inlineStr">
        <is>
          <t>Mastery writes to the correct column; no uniform-mastery artifact.</t>
        </is>
      </c>
      <c r="I4" s="37" t="inlineStr">
        <is>
          <t>Write-target inspection + distribution SQL</t>
        </is>
      </c>
      <c r="J4" s="43" t="inlineStr">
        <is>
          <t>NOT RUN</t>
        </is>
      </c>
      <c r="K4" s="37" t="inlineStr">
        <is>
          <t>Claude</t>
        </is>
      </c>
      <c r="L4" s="37" t="n"/>
      <c r="M4" s="37" t="n"/>
      <c r="N4" s="37" t="inlineStr">
        <is>
          <t>[T1 | Phase 1 | Claude] static code/config/migration review, file:line evidence</t>
        </is>
      </c>
    </row>
    <row r="5" ht="32.8" customHeight="1" s="29">
      <c r="A5" s="36" t="inlineStr">
        <is>
          <t>REG-0003</t>
        </is>
      </c>
      <c r="B5" s="54" t="inlineStr">
        <is>
          <t>P1</t>
        </is>
      </c>
      <c r="C5" s="36" t="inlineStr">
        <is>
          <t>Ops</t>
        </is>
      </c>
      <c r="D5" s="36" t="inlineStr">
        <is>
          <t>No git-excluded critical directory</t>
        </is>
      </c>
      <c r="E5" s="36" t="inlineStr">
        <is>
          <t>A gitignored agent directory once forced a reconstruction from memory after a failure. Anything excluded from git is a standing risk.</t>
        </is>
      </c>
      <c r="F5" s="36" t="inlineStr">
        <is>
          <t>Repo access.</t>
        </is>
      </c>
      <c r="G5" s="36" t="inlineStr">
        <is>
          <t>1) Review .gitignore for any critical source directory being excluded (e.g. FoxyTutorAgent). 2) Confirm all critical code is tracked.</t>
        </is>
      </c>
      <c r="H5" s="36" t="inlineStr">
        <is>
          <t>No critical directory is git-excluded; all shipping code is version-controlled.</t>
        </is>
      </c>
      <c r="I5" s="36" t="inlineStr">
        <is>
          <t>.gitignore review note</t>
        </is>
      </c>
      <c r="J5" s="41" t="inlineStr">
        <is>
          <t>NOT RUN</t>
        </is>
      </c>
      <c r="K5" s="36" t="inlineStr">
        <is>
          <t>Claude</t>
        </is>
      </c>
      <c r="L5" s="36" t="n"/>
      <c r="M5" s="36" t="n"/>
      <c r="N5" s="36" t="inlineStr">
        <is>
          <t>[T1 | Phase 1 | Claude] static code/config/migration review, file:line evidence</t>
        </is>
      </c>
    </row>
    <row r="6" ht="22.35" customHeight="1" s="29">
      <c r="A6" s="37" t="inlineStr">
        <is>
          <t>REG-0004</t>
        </is>
      </c>
      <c r="B6" s="53" t="inlineStr">
        <is>
          <t>P0</t>
        </is>
      </c>
      <c r="C6" s="37" t="inlineStr">
        <is>
          <t>Backend</t>
        </is>
      </c>
      <c r="D6" s="37" t="inlineStr">
        <is>
          <t>Anthropic calls go through the retry helper</t>
        </is>
      </c>
      <c r="E6" s="37" t="inlineStr">
        <is>
          <t>Direct Anthropic calls bypass backoff and cascade under 500/529 load. Every call path must use utils/anthropic.ts.</t>
        </is>
      </c>
      <c r="F6" s="37" t="inlineStr">
        <is>
          <t>The AI call paths.</t>
        </is>
      </c>
      <c r="G6" s="37" t="inlineStr">
        <is>
          <t>1) Grep/trace AI call sites. 2) Confirm all route through the retry helper / MOL, none call the API directly.</t>
        </is>
      </c>
      <c r="H6" s="37" t="inlineStr">
        <is>
          <t>Every AI call uses the retry helper; no direct, unguarded calls.</t>
        </is>
      </c>
      <c r="I6" s="37" t="inlineStr">
        <is>
          <t>Call-site inventory</t>
        </is>
      </c>
      <c r="J6" s="43" t="inlineStr">
        <is>
          <t>NOT RUN</t>
        </is>
      </c>
      <c r="K6" s="37" t="inlineStr">
        <is>
          <t>Claude</t>
        </is>
      </c>
      <c r="L6" s="37" t="n"/>
      <c r="M6" s="37" t="n"/>
      <c r="N6" s="37" t="inlineStr">
        <is>
          <t>[T1 | Phase 1 | Claude] static code/config/migration review, file:line evidence</t>
        </is>
      </c>
    </row>
    <row r="7" ht="32.8" customHeight="1" s="29">
      <c r="A7" s="36" t="inlineStr">
        <is>
          <t>REG-0005</t>
        </is>
      </c>
      <c r="B7" s="54" t="inlineStr">
        <is>
          <t>P1</t>
        </is>
      </c>
      <c r="C7" s="36" t="inlineStr">
        <is>
          <t>Ops</t>
        </is>
      </c>
      <c r="D7" s="36" t="inlineStr">
        <is>
          <t>Prod hotfixes mirrored into the repo</t>
        </is>
      </c>
      <c r="E7" s="36" t="inlineStr">
        <is>
          <t>Fixes applied directly to prod (content-readiness cron, projector cron re-auth, Sentry, /dev gate) must be mirrored as migrations/PRs, or baseline drifts and they get lost.</t>
        </is>
      </c>
      <c r="F7" s="36" t="inlineStr">
        <is>
          <t>Repo + prod migration history.</t>
        </is>
      </c>
      <c r="G7" s="36" t="inlineStr">
        <is>
          <t>1) Confirm each known out-of-CI prod fix has a matching repo migration/PR merged. 2) Confirm baseline_from_prod matches prod.</t>
        </is>
      </c>
      <c r="H7" s="36" t="inlineStr">
        <is>
          <t>Every prod hotfix is mirrored in the repo; no drift between prod and baseline.</t>
        </is>
      </c>
      <c r="I7" s="36" t="inlineStr">
        <is>
          <t>Migration/PR list</t>
        </is>
      </c>
      <c r="J7" s="41" t="inlineStr">
        <is>
          <t>NOT RUN</t>
        </is>
      </c>
      <c r="K7" s="36" t="inlineStr">
        <is>
          <t>Claude</t>
        </is>
      </c>
      <c r="L7" s="36" t="n"/>
      <c r="M7" s="36" t="n"/>
      <c r="N7" s="36" t="inlineStr">
        <is>
          <t>[T1 | Phase 1 | Claude] static code/config/migration review, file:line evidence</t>
        </is>
      </c>
    </row>
    <row r="8" ht="22.35" customHeight="1" s="29">
      <c r="A8" s="37" t="inlineStr">
        <is>
          <t>REG-0006</t>
        </is>
      </c>
      <c r="B8" s="54" t="inlineStr">
        <is>
          <t>P1</t>
        </is>
      </c>
      <c r="C8" s="37" t="inlineStr">
        <is>
          <t>Backend</t>
        </is>
      </c>
      <c r="D8" s="37" t="inlineStr">
        <is>
          <t>Cron secret rotation cannot silently break monitoring</t>
        </is>
      </c>
      <c r="E8" s="37" t="inlineStr">
        <is>
          <t>The 17-day outage was a rotated CRON_SECRET with no fallback. Rotation must not silently kill jobs again.</t>
        </is>
      </c>
      <c r="F8" s="37" t="inlineStr">
        <is>
          <t>Cron auth config.</t>
        </is>
      </c>
      <c r="G8" s="37" t="inlineStr">
        <is>
          <t>1) Confirm cron jobs use the resilient auth (anon Bearer + x-cron-secret with DB fallback). 2) Rotate a secret in staging and confirm jobs survive or alert.</t>
        </is>
      </c>
      <c r="H8" s="37" t="inlineStr">
        <is>
          <t>Secret rotation does not silently break crons; failure alerts fire.</t>
        </is>
      </c>
      <c r="I8" s="37" t="inlineStr">
        <is>
          <t>Config + rotation test result</t>
        </is>
      </c>
      <c r="J8" s="43" t="inlineStr">
        <is>
          <t>NOT RUN</t>
        </is>
      </c>
      <c r="K8" s="37" t="inlineStr">
        <is>
          <t>Claude</t>
        </is>
      </c>
      <c r="L8" s="37" t="n"/>
      <c r="M8" s="37" t="n"/>
      <c r="N8" s="37" t="inlineStr">
        <is>
          <t>[T1 | Phase 1 | Claude] static code/config/migration review, file:line evidence</t>
        </is>
      </c>
    </row>
  </sheetData>
  <autoFilter ref="A2:N8"/>
  <mergeCells count="1">
    <mergeCell ref="A1:N1"/>
  </mergeCells>
  <conditionalFormatting sqref="J3:J8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8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N9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21 · Matrix — RBAC (Route Area × Role)   —   96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53.7" customHeight="1" s="29">
      <c r="A3" s="36" t="inlineStr">
        <is>
          <t>MX-RBAC-0001</t>
        </is>
      </c>
      <c r="B3" s="54" t="inlineStr">
        <is>
          <t>P1</t>
        </is>
      </c>
      <c r="C3" s="36" t="inlineStr">
        <is>
          <t>Backend+RBAC</t>
        </is>
      </c>
      <c r="D3" s="36" t="inlineStr">
        <is>
          <t>Student dashboard &amp; quiz</t>
        </is>
      </c>
      <c r="E3" s="36" t="inlineStr">
        <is>
          <t>Verifies the access decision when a 'Anonymous' account reaches the 'Student dashboard &amp; quiz' area. RBAC is enforced server-side; the historical dual-admin and silent-admin-failure incidents came from getting exactly these decisions wrong. Expected owner of this area is 'Student'.</t>
        </is>
      </c>
      <c r="F3" s="36" t="inlineStr">
        <is>
          <t>Anonymous test account available; intercepting proxy for tamper attempts.</t>
        </is>
      </c>
      <c r="G3" s="36" t="inlineStr">
        <is>
          <t>1) Log in as Anonymous (or stay anonymous). 2) Attempt to reach 'Student dashboard &amp; quiz' directly by URL and by tampering the role in the request. 3) Observe.</t>
        </is>
      </c>
      <c r="H3" s="36" t="inlineStr">
        <is>
          <t>Access DENIED with a structured error (never a blank page, never data leakage); role tampering does not elevate; denial is server-side.</t>
        </is>
      </c>
      <c r="I3" s="36" t="inlineStr">
        <is>
          <t>Screenshot/response capture of the access decision</t>
        </is>
      </c>
      <c r="J3" s="41" t="inlineStr">
        <is>
          <t>NOT RUN</t>
        </is>
      </c>
      <c r="K3" s="36" t="inlineStr">
        <is>
          <t>Claude (pending env)</t>
        </is>
      </c>
      <c r="L3" s="36" t="n"/>
      <c r="M3" s="36" t="n"/>
      <c r="N3" s="36" t="inlineStr">
        <is>
          <t>[T4 | Phase 4 | Claude (pending env)] Playwright/authenticated-API against running env. awaiting running staging URL + test accounts</t>
        </is>
      </c>
    </row>
    <row r="4" ht="53.7" customHeight="1" s="29">
      <c r="A4" s="37" t="inlineStr">
        <is>
          <t>MX-RBAC-0002</t>
        </is>
      </c>
      <c r="B4" s="54" t="inlineStr">
        <is>
          <t>P1</t>
        </is>
      </c>
      <c r="C4" s="37" t="inlineStr">
        <is>
          <t>Backend+RBAC</t>
        </is>
      </c>
      <c r="D4" s="37" t="inlineStr">
        <is>
          <t>Student dashboard &amp; quiz</t>
        </is>
      </c>
      <c r="E4" s="37" t="inlineStr">
        <is>
          <t>Verifies the access decision when a 'Student' account reaches the 'Student dashboard &amp; quiz' area. RBAC is enforced server-side; the historical dual-admin and silent-admin-failure incidents came from getting exactly these decisions wrong. Expected owner of this area is 'Student'.</t>
        </is>
      </c>
      <c r="F4" s="37" t="inlineStr">
        <is>
          <t>Student test account available; intercepting proxy for tamper attempts.</t>
        </is>
      </c>
      <c r="G4" s="37" t="inlineStr">
        <is>
          <t>1) Log in as Student. 2) Open the 'Student dashboard &amp; quiz' area normally. 3) Confirm full, correct access and that the action audit-logs where applicable.</t>
        </is>
      </c>
      <c r="H4" s="37" t="inlineStr">
        <is>
          <t>Student has correct access to 'Student dashboard &amp; quiz'; server-side role check passes; audited where relevant.</t>
        </is>
      </c>
      <c r="I4" s="37" t="inlineStr">
        <is>
          <t>Screenshot/response capture of the access decision</t>
        </is>
      </c>
      <c r="J4" s="43" t="inlineStr">
        <is>
          <t>NOT RUN</t>
        </is>
      </c>
      <c r="K4" s="37" t="inlineStr">
        <is>
          <t>Claude (pending env)</t>
        </is>
      </c>
      <c r="L4" s="37" t="n"/>
      <c r="M4" s="37" t="n"/>
      <c r="N4" s="37" t="inlineStr">
        <is>
          <t>[T4 | Phase 4 | Claude (pending env)] Playwright/authenticated-API against running env. awaiting running staging URL + test accounts</t>
        </is>
      </c>
    </row>
    <row r="5" ht="53.7" customHeight="1" s="29">
      <c r="A5" s="36" t="inlineStr">
        <is>
          <t>MX-RBAC-0003</t>
        </is>
      </c>
      <c r="B5" s="54" t="inlineStr">
        <is>
          <t>P1</t>
        </is>
      </c>
      <c r="C5" s="36" t="inlineStr">
        <is>
          <t>Backend+RBAC</t>
        </is>
      </c>
      <c r="D5" s="36" t="inlineStr">
        <is>
          <t>Student dashboard &amp; quiz</t>
        </is>
      </c>
      <c r="E5" s="36" t="inlineStr">
        <is>
          <t>Verifies the access decision when a 'Parent' account reaches the 'Student dashboard &amp; quiz' area. RBAC is enforced server-side; the historical dual-admin and silent-admin-failure incidents came from getting exactly these decisions wrong. Expected owner of this area is 'Student'.</t>
        </is>
      </c>
      <c r="F5" s="36" t="inlineStr">
        <is>
          <t>Parent test account available; intercepting proxy for tamper attempts.</t>
        </is>
      </c>
      <c r="G5" s="36" t="inlineStr">
        <is>
          <t>1) Log in as Parent (or stay anonymous). 2) Attempt to reach 'Student dashboard &amp; quiz' directly by URL and by tampering the role in the request. 3) Observe.</t>
        </is>
      </c>
      <c r="H5" s="36" t="inlineStr">
        <is>
          <t>Access DENIED with a structured error (never a blank page, never data leakage); role tampering does not elevate; denial is server-side.</t>
        </is>
      </c>
      <c r="I5" s="36" t="inlineStr">
        <is>
          <t>Screenshot/response capture of the access decision</t>
        </is>
      </c>
      <c r="J5" s="41" t="inlineStr">
        <is>
          <t>NOT RUN</t>
        </is>
      </c>
      <c r="K5" s="36" t="inlineStr">
        <is>
          <t>Claude (pending env)</t>
        </is>
      </c>
      <c r="L5" s="36" t="n"/>
      <c r="M5" s="36" t="n"/>
      <c r="N5" s="36" t="inlineStr">
        <is>
          <t>[T4 | Phase 4 | Claude (pending env)] Playwright/authenticated-API against running env. awaiting running staging URL + test accounts</t>
        </is>
      </c>
    </row>
    <row r="6" ht="53.7" customHeight="1" s="29">
      <c r="A6" s="37" t="inlineStr">
        <is>
          <t>MX-RBAC-0004</t>
        </is>
      </c>
      <c r="B6" s="54" t="inlineStr">
        <is>
          <t>P1</t>
        </is>
      </c>
      <c r="C6" s="37" t="inlineStr">
        <is>
          <t>Backend+RBAC</t>
        </is>
      </c>
      <c r="D6" s="37" t="inlineStr">
        <is>
          <t>Student dashboard &amp; quiz</t>
        </is>
      </c>
      <c r="E6" s="37" t="inlineStr">
        <is>
          <t>Verifies the access decision when a 'Teacher' account reaches the 'Student dashboard &amp; quiz' area. RBAC is enforced server-side; the historical dual-admin and silent-admin-failure incidents came from getting exactly these decisions wrong. Expected owner of this area is 'Student'.</t>
        </is>
      </c>
      <c r="F6" s="37" t="inlineStr">
        <is>
          <t>Teacher test account available; intercepting proxy for tamper attempts.</t>
        </is>
      </c>
      <c r="G6" s="37" t="inlineStr">
        <is>
          <t>1) Log in as Teacher (or stay anonymous). 2) Attempt to reach 'Student dashboard &amp; quiz' directly by URL and by tampering the role in the request. 3) Observe.</t>
        </is>
      </c>
      <c r="H6" s="37" t="inlineStr">
        <is>
          <t>Access DENIED with a structured error (never a blank page, never data leakage); role tampering does not elevate; denial is server-side.</t>
        </is>
      </c>
      <c r="I6" s="37" t="inlineStr">
        <is>
          <t>Screenshot/response capture of the access decision</t>
        </is>
      </c>
      <c r="J6" s="43" t="inlineStr">
        <is>
          <t>NOT RUN</t>
        </is>
      </c>
      <c r="K6" s="37" t="inlineStr">
        <is>
          <t>Claude (pending env)</t>
        </is>
      </c>
      <c r="L6" s="37" t="n"/>
      <c r="M6" s="37" t="n"/>
      <c r="N6" s="37" t="inlineStr">
        <is>
          <t>[T4 | Phase 4 | Claude (pending env)] Playwright/authenticated-API against running env. awaiting running staging URL + test accounts</t>
        </is>
      </c>
    </row>
    <row r="7" ht="53.7" customHeight="1" s="29">
      <c r="A7" s="36" t="inlineStr">
        <is>
          <t>MX-RBAC-0005</t>
        </is>
      </c>
      <c r="B7" s="54" t="inlineStr">
        <is>
          <t>P1</t>
        </is>
      </c>
      <c r="C7" s="36" t="inlineStr">
        <is>
          <t>Backend+RBAC</t>
        </is>
      </c>
      <c r="D7" s="36" t="inlineStr">
        <is>
          <t>Student dashboard &amp; quiz</t>
        </is>
      </c>
      <c r="E7" s="36" t="inlineStr">
        <is>
          <t>Verifies the access decision when a 'School Admin' account reaches the 'Student dashboard &amp; quiz' area. RBAC is enforced server-side; the historical dual-admin and silent-admin-failure incidents came from getting exactly these decisions wrong. Expected owner of this area is 'Student'.</t>
        </is>
      </c>
      <c r="F7" s="36" t="inlineStr">
        <is>
          <t>School Admin test account available; intercepting proxy for tamper attempts.</t>
        </is>
      </c>
      <c r="G7" s="36" t="inlineStr">
        <is>
          <t>1) Log in as School Admin (or stay anonymous). 2) Attempt to reach 'Student dashboard &amp; quiz' directly by URL and by tampering the role in the request. 3) Observe.</t>
        </is>
      </c>
      <c r="H7" s="36" t="inlineStr">
        <is>
          <t>Access DENIED with a structured error (never a blank page, never data leakage); role tampering does not elevate; denial is server-side.</t>
        </is>
      </c>
      <c r="I7" s="36" t="inlineStr">
        <is>
          <t>Screenshot/response capture of the access decision</t>
        </is>
      </c>
      <c r="J7" s="41" t="inlineStr">
        <is>
          <t>NOT RUN</t>
        </is>
      </c>
      <c r="K7" s="36" t="inlineStr">
        <is>
          <t>Claude (pending env)</t>
        </is>
      </c>
      <c r="L7" s="36" t="n"/>
      <c r="M7" s="36" t="n"/>
      <c r="N7" s="36" t="inlineStr">
        <is>
          <t>[T4 | Phase 4 | Claude (pending env)] Playwright/authenticated-API against running env. awaiting running staging URL + test accounts</t>
        </is>
      </c>
    </row>
    <row r="8" ht="53.7" customHeight="1" s="29">
      <c r="A8" s="37" t="inlineStr">
        <is>
          <t>MX-RBAC-0006</t>
        </is>
      </c>
      <c r="B8" s="54" t="inlineStr">
        <is>
          <t>P1</t>
        </is>
      </c>
      <c r="C8" s="37" t="inlineStr">
        <is>
          <t>Backend+RBAC</t>
        </is>
      </c>
      <c r="D8" s="37" t="inlineStr">
        <is>
          <t>Student dashboard &amp; quiz</t>
        </is>
      </c>
      <c r="E8" s="37" t="inlineStr">
        <is>
          <t>Verifies the access decision when a 'Super Admin' account reaches the 'Student dashboard &amp; quiz' area. RBAC is enforced server-side; the historical dual-admin and silent-admin-failure incidents came from getting exactly these decisions wrong. Expected owner of this area is 'Student'.</t>
        </is>
      </c>
      <c r="F8" s="37" t="inlineStr">
        <is>
          <t>Super Admin test account available; intercepting proxy for tamper attempts.</t>
        </is>
      </c>
      <c r="G8" s="37" t="inlineStr">
        <is>
          <t>1) Log in as Super Admin (or stay anonymous). 2) Attempt to reach 'Student dashboard &amp; quiz' directly by URL and by tampering the role in the request. 3) Observe.</t>
        </is>
      </c>
      <c r="H8" s="37" t="inlineStr">
        <is>
          <t>Access DENIED with a structured error (never a blank page, never data leakage); role tampering does not elevate; denial is server-side.</t>
        </is>
      </c>
      <c r="I8" s="37" t="inlineStr">
        <is>
          <t>Screenshot/response capture of the access decision</t>
        </is>
      </c>
      <c r="J8" s="43" t="inlineStr">
        <is>
          <t>NOT RUN</t>
        </is>
      </c>
      <c r="K8" s="37" t="inlineStr">
        <is>
          <t>Claude (pending env)</t>
        </is>
      </c>
      <c r="L8" s="37" t="n"/>
      <c r="M8" s="37" t="n"/>
      <c r="N8" s="37" t="inlineStr">
        <is>
          <t>[T4 | Phase 4 | Claude (pending env)] Playwright/authenticated-API against running env. awaiting running staging URL + test accounts</t>
        </is>
      </c>
    </row>
    <row r="9" ht="53.7" customHeight="1" s="29">
      <c r="A9" s="36" t="inlineStr">
        <is>
          <t>MX-RBAC-0007</t>
        </is>
      </c>
      <c r="B9" s="54" t="inlineStr">
        <is>
          <t>P1</t>
        </is>
      </c>
      <c r="C9" s="36" t="inlineStr">
        <is>
          <t>Backend+RBAC</t>
        </is>
      </c>
      <c r="D9" s="36" t="inlineStr">
        <is>
          <t>Foxy tutor chat</t>
        </is>
      </c>
      <c r="E9" s="36" t="inlineStr">
        <is>
          <t>Verifies the access decision when a 'Anonymous' account reaches the 'Foxy tutor chat' area. RBAC is enforced server-side; the historical dual-admin and silent-admin-failure incidents came from getting exactly these decisions wrong. Expected owner of this area is 'Student'.</t>
        </is>
      </c>
      <c r="F9" s="36" t="inlineStr">
        <is>
          <t>Anonymous test account available; intercepting proxy for tamper attempts.</t>
        </is>
      </c>
      <c r="G9" s="36" t="inlineStr">
        <is>
          <t>1) Log in as Anonymous (or stay anonymous). 2) Attempt to reach 'Foxy tutor chat' directly by URL and by tampering the role in the request. 3) Observe.</t>
        </is>
      </c>
      <c r="H9" s="36" t="inlineStr">
        <is>
          <t>Access DENIED with a structured error (never a blank page, never data leakage); role tampering does not elevate; denial is server-side.</t>
        </is>
      </c>
      <c r="I9" s="36" t="inlineStr">
        <is>
          <t>Screenshot/response capture of the access decision</t>
        </is>
      </c>
      <c r="J9" s="41" t="inlineStr">
        <is>
          <t>NOT RUN</t>
        </is>
      </c>
      <c r="K9" s="36" t="inlineStr">
        <is>
          <t>Claude (pending env)</t>
        </is>
      </c>
      <c r="L9" s="36" t="n"/>
      <c r="M9" s="36" t="n"/>
      <c r="N9" s="36" t="inlineStr">
        <is>
          <t>[T4 | Phase 4 | Claude (pending env)] Playwright/authenticated-API against running env. awaiting running staging URL + test accounts</t>
        </is>
      </c>
    </row>
    <row r="10" ht="53.7" customHeight="1" s="29">
      <c r="A10" s="37" t="inlineStr">
        <is>
          <t>MX-RBAC-0008</t>
        </is>
      </c>
      <c r="B10" s="54" t="inlineStr">
        <is>
          <t>P1</t>
        </is>
      </c>
      <c r="C10" s="37" t="inlineStr">
        <is>
          <t>Backend+RBAC</t>
        </is>
      </c>
      <c r="D10" s="37" t="inlineStr">
        <is>
          <t>Foxy tutor chat</t>
        </is>
      </c>
      <c r="E10" s="37" t="inlineStr">
        <is>
          <t>Verifies the access decision when a 'Student' account reaches the 'Foxy tutor chat' area. RBAC is enforced server-side; the historical dual-admin and silent-admin-failure incidents came from getting exactly these decisions wrong. Expected owner of this area is 'Student'.</t>
        </is>
      </c>
      <c r="F10" s="37" t="inlineStr">
        <is>
          <t>Student test account available; intercepting proxy for tamper attempts.</t>
        </is>
      </c>
      <c r="G10" s="37" t="inlineStr">
        <is>
          <t>1) Log in as Student. 2) Open the 'Foxy tutor chat' area normally. 3) Confirm full, correct access and that the action audit-logs where applicable.</t>
        </is>
      </c>
      <c r="H10" s="37" t="inlineStr">
        <is>
          <t>Student has correct access to 'Foxy tutor chat'; server-side role check passes; audited where relevant.</t>
        </is>
      </c>
      <c r="I10" s="37" t="inlineStr">
        <is>
          <t>Screenshot/response capture of the access decision</t>
        </is>
      </c>
      <c r="J10" s="43" t="inlineStr">
        <is>
          <t>NOT RUN</t>
        </is>
      </c>
      <c r="K10" s="37" t="inlineStr">
        <is>
          <t>Claude (pending env)</t>
        </is>
      </c>
      <c r="L10" s="37" t="n"/>
      <c r="M10" s="37" t="n"/>
      <c r="N10" s="37" t="inlineStr">
        <is>
          <t>[T4 | Phase 4 | Claude (pending env)] Playwright/authenticated-API against running env. awaiting running staging URL + test accounts</t>
        </is>
      </c>
    </row>
    <row r="11" ht="53.7" customHeight="1" s="29">
      <c r="A11" s="36" t="inlineStr">
        <is>
          <t>MX-RBAC-0009</t>
        </is>
      </c>
      <c r="B11" s="54" t="inlineStr">
        <is>
          <t>P1</t>
        </is>
      </c>
      <c r="C11" s="36" t="inlineStr">
        <is>
          <t>Backend+RBAC</t>
        </is>
      </c>
      <c r="D11" s="36" t="inlineStr">
        <is>
          <t>Foxy tutor chat</t>
        </is>
      </c>
      <c r="E11" s="36" t="inlineStr">
        <is>
          <t>Verifies the access decision when a 'Parent' account reaches the 'Foxy tutor chat' area. RBAC is enforced server-side; the historical dual-admin and silent-admin-failure incidents came from getting exactly these decisions wrong. Expected owner of this area is 'Student'.</t>
        </is>
      </c>
      <c r="F11" s="36" t="inlineStr">
        <is>
          <t>Parent test account available; intercepting proxy for tamper attempts.</t>
        </is>
      </c>
      <c r="G11" s="36" t="inlineStr">
        <is>
          <t>1) Log in as Parent (or stay anonymous). 2) Attempt to reach 'Foxy tutor chat' directly by URL and by tampering the role in the request. 3) Observe.</t>
        </is>
      </c>
      <c r="H11" s="36" t="inlineStr">
        <is>
          <t>Access DENIED with a structured error (never a blank page, never data leakage); role tampering does not elevate; denial is server-side.</t>
        </is>
      </c>
      <c r="I11" s="36" t="inlineStr">
        <is>
          <t>Screenshot/response capture of the access decision</t>
        </is>
      </c>
      <c r="J11" s="41" t="inlineStr">
        <is>
          <t>NOT RUN</t>
        </is>
      </c>
      <c r="K11" s="36" t="inlineStr">
        <is>
          <t>Claude (pending env)</t>
        </is>
      </c>
      <c r="L11" s="36" t="n"/>
      <c r="M11" s="36" t="n"/>
      <c r="N11" s="36" t="inlineStr">
        <is>
          <t>[T4 | Phase 4 | Claude (pending env)] Playwright/authenticated-API against running env. awaiting running staging URL + test accounts</t>
        </is>
      </c>
    </row>
    <row r="12" ht="53.7" customHeight="1" s="29">
      <c r="A12" s="37" t="inlineStr">
        <is>
          <t>MX-RBAC-0010</t>
        </is>
      </c>
      <c r="B12" s="54" t="inlineStr">
        <is>
          <t>P1</t>
        </is>
      </c>
      <c r="C12" s="37" t="inlineStr">
        <is>
          <t>Backend+RBAC</t>
        </is>
      </c>
      <c r="D12" s="37" t="inlineStr">
        <is>
          <t>Foxy tutor chat</t>
        </is>
      </c>
      <c r="E12" s="37" t="inlineStr">
        <is>
          <t>Verifies the access decision when a 'Teacher' account reaches the 'Foxy tutor chat' area. RBAC is enforced server-side; the historical dual-admin and silent-admin-failure incidents came from getting exactly these decisions wrong. Expected owner of this area is 'Student'.</t>
        </is>
      </c>
      <c r="F12" s="37" t="inlineStr">
        <is>
          <t>Teacher test account available; intercepting proxy for tamper attempts.</t>
        </is>
      </c>
      <c r="G12" s="37" t="inlineStr">
        <is>
          <t>1) Log in as Teacher (or stay anonymous). 2) Attempt to reach 'Foxy tutor chat' directly by URL and by tampering the role in the request. 3) Observe.</t>
        </is>
      </c>
      <c r="H12" s="37" t="inlineStr">
        <is>
          <t>Access DENIED with a structured error (never a blank page, never data leakage); role tampering does not elevate; denial is server-side.</t>
        </is>
      </c>
      <c r="I12" s="37" t="inlineStr">
        <is>
          <t>Screenshot/response capture of the access decision</t>
        </is>
      </c>
      <c r="J12" s="43" t="inlineStr">
        <is>
          <t>NOT RUN</t>
        </is>
      </c>
      <c r="K12" s="37" t="inlineStr">
        <is>
          <t>Claude (pending env)</t>
        </is>
      </c>
      <c r="L12" s="37" t="n"/>
      <c r="M12" s="37" t="n"/>
      <c r="N12" s="37" t="inlineStr">
        <is>
          <t>[T4 | Phase 4 | Claude (pending env)] Playwright/authenticated-API against running env. awaiting running staging URL + test accounts</t>
        </is>
      </c>
    </row>
    <row r="13" ht="53.7" customHeight="1" s="29">
      <c r="A13" s="36" t="inlineStr">
        <is>
          <t>MX-RBAC-0011</t>
        </is>
      </c>
      <c r="B13" s="54" t="inlineStr">
        <is>
          <t>P1</t>
        </is>
      </c>
      <c r="C13" s="36" t="inlineStr">
        <is>
          <t>Backend+RBAC</t>
        </is>
      </c>
      <c r="D13" s="36" t="inlineStr">
        <is>
          <t>Foxy tutor chat</t>
        </is>
      </c>
      <c r="E13" s="36" t="inlineStr">
        <is>
          <t>Verifies the access decision when a 'School Admin' account reaches the 'Foxy tutor chat' area. RBAC is enforced server-side; the historical dual-admin and silent-admin-failure incidents came from getting exactly these decisions wrong. Expected owner of this area is 'Student'.</t>
        </is>
      </c>
      <c r="F13" s="36" t="inlineStr">
        <is>
          <t>School Admin test account available; intercepting proxy for tamper attempts.</t>
        </is>
      </c>
      <c r="G13" s="36" t="inlineStr">
        <is>
          <t>1) Log in as School Admin (or stay anonymous). 2) Attempt to reach 'Foxy tutor chat' directly by URL and by tampering the role in the request. 3) Observe.</t>
        </is>
      </c>
      <c r="H13" s="36" t="inlineStr">
        <is>
          <t>Access DENIED with a structured error (never a blank page, never data leakage); role tampering does not elevate; denial is server-side.</t>
        </is>
      </c>
      <c r="I13" s="36" t="inlineStr">
        <is>
          <t>Screenshot/response capture of the access decision</t>
        </is>
      </c>
      <c r="J13" s="41" t="inlineStr">
        <is>
          <t>NOT RUN</t>
        </is>
      </c>
      <c r="K13" s="36" t="inlineStr">
        <is>
          <t>Claude (pending env)</t>
        </is>
      </c>
      <c r="L13" s="36" t="n"/>
      <c r="M13" s="36" t="n"/>
      <c r="N13" s="36" t="inlineStr">
        <is>
          <t>[T4 | Phase 4 | Claude (pending env)] Playwright/authenticated-API against running env. awaiting running staging URL + test accounts</t>
        </is>
      </c>
    </row>
    <row r="14" ht="53.7" customHeight="1" s="29">
      <c r="A14" s="37" t="inlineStr">
        <is>
          <t>MX-RBAC-0012</t>
        </is>
      </c>
      <c r="B14" s="54" t="inlineStr">
        <is>
          <t>P1</t>
        </is>
      </c>
      <c r="C14" s="37" t="inlineStr">
        <is>
          <t>Backend+RBAC</t>
        </is>
      </c>
      <c r="D14" s="37" t="inlineStr">
        <is>
          <t>Foxy tutor chat</t>
        </is>
      </c>
      <c r="E14" s="37" t="inlineStr">
        <is>
          <t>Verifies the access decision when a 'Super Admin' account reaches the 'Foxy tutor chat' area. RBAC is enforced server-side; the historical dual-admin and silent-admin-failure incidents came from getting exactly these decisions wrong. Expected owner of this area is 'Student'.</t>
        </is>
      </c>
      <c r="F14" s="37" t="inlineStr">
        <is>
          <t>Super Admin test account available; intercepting proxy for tamper attempts.</t>
        </is>
      </c>
      <c r="G14" s="37" t="inlineStr">
        <is>
          <t>1) Log in as Super Admin (or stay anonymous). 2) Attempt to reach 'Foxy tutor chat' directly by URL and by tampering the role in the request. 3) Observe.</t>
        </is>
      </c>
      <c r="H14" s="37" t="inlineStr">
        <is>
          <t>Access DENIED with a structured error (never a blank page, never data leakage); role tampering does not elevate; denial is server-side.</t>
        </is>
      </c>
      <c r="I14" s="37" t="inlineStr">
        <is>
          <t>Screenshot/response capture of the access decision</t>
        </is>
      </c>
      <c r="J14" s="43" t="inlineStr">
        <is>
          <t>NOT RUN</t>
        </is>
      </c>
      <c r="K14" s="37" t="inlineStr">
        <is>
          <t>Claude (pending env)</t>
        </is>
      </c>
      <c r="L14" s="37" t="n"/>
      <c r="M14" s="37" t="n"/>
      <c r="N14" s="37" t="inlineStr">
        <is>
          <t>[T4 | Phase 4 | Claude (pending env)] Playwright/authenticated-API against running env. awaiting running staging URL + test accounts</t>
        </is>
      </c>
    </row>
    <row r="15" ht="53.7" customHeight="1" s="29">
      <c r="A15" s="36" t="inlineStr">
        <is>
          <t>MX-RBAC-0013</t>
        </is>
      </c>
      <c r="B15" s="54" t="inlineStr">
        <is>
          <t>P1</t>
        </is>
      </c>
      <c r="C15" s="36" t="inlineStr">
        <is>
          <t>Backend+RBAC</t>
        </is>
      </c>
      <c r="D15" s="36" t="inlineStr">
        <is>
          <t>Student profile &amp; settings</t>
        </is>
      </c>
      <c r="E15" s="36" t="inlineStr">
        <is>
          <t>Verifies the access decision when a 'Anonymous' account reaches the 'Student profile &amp; settings' area. RBAC is enforced server-side; the historical dual-admin and silent-admin-failure incidents came from getting exactly these decisions wrong. Expected owner of this area is 'Student'.</t>
        </is>
      </c>
      <c r="F15" s="36" t="inlineStr">
        <is>
          <t>Anonymous test account available; intercepting proxy for tamper attempts.</t>
        </is>
      </c>
      <c r="G15" s="36" t="inlineStr">
        <is>
          <t>1) Log in as Anonymous (or stay anonymous). 2) Attempt to reach 'Student profile &amp; settings' directly by URL and by tampering the role in the request. 3) Observe.</t>
        </is>
      </c>
      <c r="H15" s="36" t="inlineStr">
        <is>
          <t>Access DENIED with a structured error (never a blank page, never data leakage); role tampering does not elevate; denial is server-side.</t>
        </is>
      </c>
      <c r="I15" s="36" t="inlineStr">
        <is>
          <t>Screenshot/response capture of the access decision</t>
        </is>
      </c>
      <c r="J15" s="41" t="inlineStr">
        <is>
          <t>NOT RUN</t>
        </is>
      </c>
      <c r="K15" s="36" t="inlineStr">
        <is>
          <t>Claude (pending env)</t>
        </is>
      </c>
      <c r="L15" s="36" t="n"/>
      <c r="M15" s="36" t="n"/>
      <c r="N15" s="36" t="inlineStr">
        <is>
          <t>[T4 | Phase 4 | Claude (pending env)] Playwright/authenticated-API against running env. awaiting running staging URL + test accounts</t>
        </is>
      </c>
    </row>
    <row r="16" ht="53.7" customHeight="1" s="29">
      <c r="A16" s="37" t="inlineStr">
        <is>
          <t>MX-RBAC-0014</t>
        </is>
      </c>
      <c r="B16" s="54" t="inlineStr">
        <is>
          <t>P1</t>
        </is>
      </c>
      <c r="C16" s="37" t="inlineStr">
        <is>
          <t>Backend+RBAC</t>
        </is>
      </c>
      <c r="D16" s="37" t="inlineStr">
        <is>
          <t>Student profile &amp; settings</t>
        </is>
      </c>
      <c r="E16" s="37" t="inlineStr">
        <is>
          <t>Verifies the access decision when a 'Student' account reaches the 'Student profile &amp; settings' area. RBAC is enforced server-side; the historical dual-admin and silent-admin-failure incidents came from getting exactly these decisions wrong. Expected owner of this area is 'Student'.</t>
        </is>
      </c>
      <c r="F16" s="37" t="inlineStr">
        <is>
          <t>Student test account available; intercepting proxy for tamper attempts.</t>
        </is>
      </c>
      <c r="G16" s="37" t="inlineStr">
        <is>
          <t>1) Log in as Student. 2) Open the 'Student profile &amp; settings' area normally. 3) Confirm full, correct access and that the action audit-logs where applicable.</t>
        </is>
      </c>
      <c r="H16" s="37" t="inlineStr">
        <is>
          <t>Student has correct access to 'Student profile &amp; settings'; server-side role check passes; audited where relevant.</t>
        </is>
      </c>
      <c r="I16" s="37" t="inlineStr">
        <is>
          <t>Screenshot/response capture of the access decision</t>
        </is>
      </c>
      <c r="J16" s="43" t="inlineStr">
        <is>
          <t>NOT RUN</t>
        </is>
      </c>
      <c r="K16" s="37" t="inlineStr">
        <is>
          <t>Claude (pending env)</t>
        </is>
      </c>
      <c r="L16" s="37" t="n"/>
      <c r="M16" s="37" t="n"/>
      <c r="N16" s="37" t="inlineStr">
        <is>
          <t>[T4 | Phase 4 | Claude (pending env)] Playwright/authenticated-API against running env. awaiting running staging URL + test accounts</t>
        </is>
      </c>
    </row>
    <row r="17" ht="53.7" customHeight="1" s="29">
      <c r="A17" s="36" t="inlineStr">
        <is>
          <t>MX-RBAC-0015</t>
        </is>
      </c>
      <c r="B17" s="54" t="inlineStr">
        <is>
          <t>P1</t>
        </is>
      </c>
      <c r="C17" s="36" t="inlineStr">
        <is>
          <t>Backend+RBAC</t>
        </is>
      </c>
      <c r="D17" s="36" t="inlineStr">
        <is>
          <t>Student profile &amp; settings</t>
        </is>
      </c>
      <c r="E17" s="36" t="inlineStr">
        <is>
          <t>Verifies the access decision when a 'Parent' account reaches the 'Student profile &amp; settings' area. RBAC is enforced server-side; the historical dual-admin and silent-admin-failure incidents came from getting exactly these decisions wrong. Expected owner of this area is 'Student'.</t>
        </is>
      </c>
      <c r="F17" s="36" t="inlineStr">
        <is>
          <t>Parent test account available; intercepting proxy for tamper attempts.</t>
        </is>
      </c>
      <c r="G17" s="36" t="inlineStr">
        <is>
          <t>1) Log in as Parent (or stay anonymous). 2) Attempt to reach 'Student profile &amp; settings' directly by URL and by tampering the role in the request. 3) Observe.</t>
        </is>
      </c>
      <c r="H17" s="36" t="inlineStr">
        <is>
          <t>Access DENIED with a structured error (never a blank page, never data leakage); role tampering does not elevate; denial is server-side.</t>
        </is>
      </c>
      <c r="I17" s="36" t="inlineStr">
        <is>
          <t>Screenshot/response capture of the access decision</t>
        </is>
      </c>
      <c r="J17" s="41" t="inlineStr">
        <is>
          <t>NOT RUN</t>
        </is>
      </c>
      <c r="K17" s="36" t="inlineStr">
        <is>
          <t>Claude (pending env)</t>
        </is>
      </c>
      <c r="L17" s="36" t="n"/>
      <c r="M17" s="36" t="n"/>
      <c r="N17" s="36" t="inlineStr">
        <is>
          <t>[T4 | Phase 4 | Claude (pending env)] Playwright/authenticated-API against running env. awaiting running staging URL + test accounts</t>
        </is>
      </c>
    </row>
    <row r="18" ht="53.7" customHeight="1" s="29">
      <c r="A18" s="37" t="inlineStr">
        <is>
          <t>MX-RBAC-0016</t>
        </is>
      </c>
      <c r="B18" s="54" t="inlineStr">
        <is>
          <t>P1</t>
        </is>
      </c>
      <c r="C18" s="37" t="inlineStr">
        <is>
          <t>Backend+RBAC</t>
        </is>
      </c>
      <c r="D18" s="37" t="inlineStr">
        <is>
          <t>Student profile &amp; settings</t>
        </is>
      </c>
      <c r="E18" s="37" t="inlineStr">
        <is>
          <t>Verifies the access decision when a 'Teacher' account reaches the 'Student profile &amp; settings' area. RBAC is enforced server-side; the historical dual-admin and silent-admin-failure incidents came from getting exactly these decisions wrong. Expected owner of this area is 'Student'.</t>
        </is>
      </c>
      <c r="F18" s="37" t="inlineStr">
        <is>
          <t>Teacher test account available; intercepting proxy for tamper attempts.</t>
        </is>
      </c>
      <c r="G18" s="37" t="inlineStr">
        <is>
          <t>1) Log in as Teacher (or stay anonymous). 2) Attempt to reach 'Student profile &amp; settings' directly by URL and by tampering the role in the request. 3) Observe.</t>
        </is>
      </c>
      <c r="H18" s="37" t="inlineStr">
        <is>
          <t>Access DENIED with a structured error (never a blank page, never data leakage); role tampering does not elevate; denial is server-side.</t>
        </is>
      </c>
      <c r="I18" s="37" t="inlineStr">
        <is>
          <t>Screenshot/response capture of the access decision</t>
        </is>
      </c>
      <c r="J18" s="43" t="inlineStr">
        <is>
          <t>NOT RUN</t>
        </is>
      </c>
      <c r="K18" s="37" t="inlineStr">
        <is>
          <t>Claude (pending env)</t>
        </is>
      </c>
      <c r="L18" s="37" t="n"/>
      <c r="M18" s="37" t="n"/>
      <c r="N18" s="37" t="inlineStr">
        <is>
          <t>[T4 | Phase 4 | Claude (pending env)] Playwright/authenticated-API against running env. awaiting running staging URL + test accounts</t>
        </is>
      </c>
    </row>
    <row r="19" ht="53.7" customHeight="1" s="29">
      <c r="A19" s="36" t="inlineStr">
        <is>
          <t>MX-RBAC-0017</t>
        </is>
      </c>
      <c r="B19" s="54" t="inlineStr">
        <is>
          <t>P1</t>
        </is>
      </c>
      <c r="C19" s="36" t="inlineStr">
        <is>
          <t>Backend+RBAC</t>
        </is>
      </c>
      <c r="D19" s="36" t="inlineStr">
        <is>
          <t>Student profile &amp; settings</t>
        </is>
      </c>
      <c r="E19" s="36" t="inlineStr">
        <is>
          <t>Verifies the access decision when a 'School Admin' account reaches the 'Student profile &amp; settings' area. RBAC is enforced server-side; the historical dual-admin and silent-admin-failure incidents came from getting exactly these decisions wrong. Expected owner of this area is 'Student'.</t>
        </is>
      </c>
      <c r="F19" s="36" t="inlineStr">
        <is>
          <t>School Admin test account available; intercepting proxy for tamper attempts.</t>
        </is>
      </c>
      <c r="G19" s="36" t="inlineStr">
        <is>
          <t>1) Log in as School Admin (or stay anonymous). 2) Attempt to reach 'Student profile &amp; settings' directly by URL and by tampering the role in the request. 3) Observe.</t>
        </is>
      </c>
      <c r="H19" s="36" t="inlineStr">
        <is>
          <t>Access DENIED with a structured error (never a blank page, never data leakage); role tampering does not elevate; denial is server-side.</t>
        </is>
      </c>
      <c r="I19" s="36" t="inlineStr">
        <is>
          <t>Screenshot/response capture of the access decision</t>
        </is>
      </c>
      <c r="J19" s="41" t="inlineStr">
        <is>
          <t>NOT RUN</t>
        </is>
      </c>
      <c r="K19" s="36" t="inlineStr">
        <is>
          <t>Claude (pending env)</t>
        </is>
      </c>
      <c r="L19" s="36" t="n"/>
      <c r="M19" s="36" t="n"/>
      <c r="N19" s="36" t="inlineStr">
        <is>
          <t>[T4 | Phase 4 | Claude (pending env)] Playwright/authenticated-API against running env. awaiting running staging URL + test accounts</t>
        </is>
      </c>
    </row>
    <row r="20" ht="53.7" customHeight="1" s="29">
      <c r="A20" s="37" t="inlineStr">
        <is>
          <t>MX-RBAC-0018</t>
        </is>
      </c>
      <c r="B20" s="54" t="inlineStr">
        <is>
          <t>P1</t>
        </is>
      </c>
      <c r="C20" s="37" t="inlineStr">
        <is>
          <t>Backend+RBAC</t>
        </is>
      </c>
      <c r="D20" s="37" t="inlineStr">
        <is>
          <t>Student profile &amp; settings</t>
        </is>
      </c>
      <c r="E20" s="37" t="inlineStr">
        <is>
          <t>Verifies the access decision when a 'Super Admin' account reaches the 'Student profile &amp; settings' area. RBAC is enforced server-side; the historical dual-admin and silent-admin-failure incidents came from getting exactly these decisions wrong. Expected owner of this area is 'Student'.</t>
        </is>
      </c>
      <c r="F20" s="37" t="inlineStr">
        <is>
          <t>Super Admin test account available; intercepting proxy for tamper attempts.</t>
        </is>
      </c>
      <c r="G20" s="37" t="inlineStr">
        <is>
          <t>1) Log in as Super Admin (or stay anonymous). 2) Attempt to reach 'Student profile &amp; settings' directly by URL and by tampering the role in the request. 3) Observe.</t>
        </is>
      </c>
      <c r="H20" s="37" t="inlineStr">
        <is>
          <t>Access DENIED with a structured error (never a blank page, never data leakage); role tampering does not elevate; denial is server-side.</t>
        </is>
      </c>
      <c r="I20" s="37" t="inlineStr">
        <is>
          <t>Screenshot/response capture of the access decision</t>
        </is>
      </c>
      <c r="J20" s="43" t="inlineStr">
        <is>
          <t>NOT RUN</t>
        </is>
      </c>
      <c r="K20" s="37" t="inlineStr">
        <is>
          <t>Claude (pending env)</t>
        </is>
      </c>
      <c r="L20" s="37" t="n"/>
      <c r="M20" s="37" t="n"/>
      <c r="N20" s="37" t="inlineStr">
        <is>
          <t>[T4 | Phase 4 | Claude (pending env)] Playwright/authenticated-API against running env. awaiting running staging URL + test accounts</t>
        </is>
      </c>
    </row>
    <row r="21" ht="53.7" customHeight="1" s="29">
      <c r="A21" s="36" t="inlineStr">
        <is>
          <t>MX-RBAC-0019</t>
        </is>
      </c>
      <c r="B21" s="54" t="inlineStr">
        <is>
          <t>P1</t>
        </is>
      </c>
      <c r="C21" s="36" t="inlineStr">
        <is>
          <t>Backend+RBAC</t>
        </is>
      </c>
      <c r="D21" s="36" t="inlineStr">
        <is>
          <t>Parent portal &amp; child reports</t>
        </is>
      </c>
      <c r="E21" s="36" t="inlineStr">
        <is>
          <t>Verifies the access decision when a 'Anonymous' account reaches the 'Parent portal &amp; child reports' area. RBAC is enforced server-side; the historical dual-admin and silent-admin-failure incidents came from getting exactly these decisions wrong. Expected owner of this area is 'Parent'.</t>
        </is>
      </c>
      <c r="F21" s="36" t="inlineStr">
        <is>
          <t>Anonymous test account available; intercepting proxy for tamper attempts.</t>
        </is>
      </c>
      <c r="G21" s="36" t="inlineStr">
        <is>
          <t>1) Log in as Anonymous (or stay anonymous). 2) Attempt to reach 'Parent portal &amp; child reports' directly by URL and by tampering the role in the request. 3) Observe.</t>
        </is>
      </c>
      <c r="H21" s="36" t="inlineStr">
        <is>
          <t>Access DENIED with a structured error (never a blank page, never data leakage); role tampering does not elevate; denial is server-side.</t>
        </is>
      </c>
      <c r="I21" s="36" t="inlineStr">
        <is>
          <t>Screenshot/response capture of the access decision</t>
        </is>
      </c>
      <c r="J21" s="41" t="inlineStr">
        <is>
          <t>NOT RUN</t>
        </is>
      </c>
      <c r="K21" s="36" t="inlineStr">
        <is>
          <t>Claude (pending env)</t>
        </is>
      </c>
      <c r="L21" s="36" t="n"/>
      <c r="M21" s="36" t="n"/>
      <c r="N21" s="36" t="inlineStr">
        <is>
          <t>[T4 | Phase 4 | Claude (pending env)] Playwright/authenticated-API against running env. awaiting running staging URL + test accounts</t>
        </is>
      </c>
    </row>
    <row r="22" ht="53.7" customHeight="1" s="29">
      <c r="A22" s="37" t="inlineStr">
        <is>
          <t>MX-RBAC-0020</t>
        </is>
      </c>
      <c r="B22" s="54" t="inlineStr">
        <is>
          <t>P1</t>
        </is>
      </c>
      <c r="C22" s="37" t="inlineStr">
        <is>
          <t>Backend+RBAC</t>
        </is>
      </c>
      <c r="D22" s="37" t="inlineStr">
        <is>
          <t>Parent portal &amp; child reports</t>
        </is>
      </c>
      <c r="E22" s="37" t="inlineStr">
        <is>
          <t>Verifies the access decision when a 'Student' account reaches the 'Parent portal &amp; child reports' area. RBAC is enforced server-side; the historical dual-admin and silent-admin-failure incidents came from getting exactly these decisions wrong. Expected owner of this area is 'Parent'.</t>
        </is>
      </c>
      <c r="F22" s="37" t="inlineStr">
        <is>
          <t>Student test account available; intercepting proxy for tamper attempts.</t>
        </is>
      </c>
      <c r="G22" s="37" t="inlineStr">
        <is>
          <t>1) Log in as Student (or stay anonymous). 2) Attempt to reach 'Parent portal &amp; child reports' directly by URL and by tampering the role in the request. 3) Observe.</t>
        </is>
      </c>
      <c r="H22" s="37" t="inlineStr">
        <is>
          <t>Access DENIED with a structured error (never a blank page, never data leakage); role tampering does not elevate; denial is server-side.</t>
        </is>
      </c>
      <c r="I22" s="37" t="inlineStr">
        <is>
          <t>Screenshot/response capture of the access decision</t>
        </is>
      </c>
      <c r="J22" s="43" t="inlineStr">
        <is>
          <t>NOT RUN</t>
        </is>
      </c>
      <c r="K22" s="37" t="inlineStr">
        <is>
          <t>Claude (pending env)</t>
        </is>
      </c>
      <c r="L22" s="37" t="n"/>
      <c r="M22" s="37" t="n"/>
      <c r="N22" s="37" t="inlineStr">
        <is>
          <t>[T4 | Phase 4 | Claude (pending env)] Playwright/authenticated-API against running env. awaiting running staging URL + test accounts</t>
        </is>
      </c>
    </row>
    <row r="23" ht="53.7" customHeight="1" s="29">
      <c r="A23" s="36" t="inlineStr">
        <is>
          <t>MX-RBAC-0021</t>
        </is>
      </c>
      <c r="B23" s="54" t="inlineStr">
        <is>
          <t>P1</t>
        </is>
      </c>
      <c r="C23" s="36" t="inlineStr">
        <is>
          <t>Backend+RBAC</t>
        </is>
      </c>
      <c r="D23" s="36" t="inlineStr">
        <is>
          <t>Parent portal &amp; child reports</t>
        </is>
      </c>
      <c r="E23" s="36" t="inlineStr">
        <is>
          <t>Verifies the access decision when a 'Parent' account reaches the 'Parent portal &amp; child reports' area. RBAC is enforced server-side; the historical dual-admin and silent-admin-failure incidents came from getting exactly these decisions wrong. Expected owner of this area is 'Parent'.</t>
        </is>
      </c>
      <c r="F23" s="36" t="inlineStr">
        <is>
          <t>Parent test account available; intercepting proxy for tamper attempts.</t>
        </is>
      </c>
      <c r="G23" s="36" t="inlineStr">
        <is>
          <t>1) Log in as Parent. 2) Open the 'Parent portal &amp; child reports' area normally. 3) Confirm full, correct access and that the action audit-logs where applicable.</t>
        </is>
      </c>
      <c r="H23" s="36" t="inlineStr">
        <is>
          <t>Parent has correct access to 'Parent portal &amp; child reports'; server-side role check passes; audited where relevant.</t>
        </is>
      </c>
      <c r="I23" s="36" t="inlineStr">
        <is>
          <t>Screenshot/response capture of the access decision</t>
        </is>
      </c>
      <c r="J23" s="41" t="inlineStr">
        <is>
          <t>NOT RUN</t>
        </is>
      </c>
      <c r="K23" s="36" t="inlineStr">
        <is>
          <t>Claude (pending env)</t>
        </is>
      </c>
      <c r="L23" s="36" t="n"/>
      <c r="M23" s="36" t="n"/>
      <c r="N23" s="36" t="inlineStr">
        <is>
          <t>[T4 | Phase 4 | Claude (pending env)] Playwright/authenticated-API against running env. awaiting running staging URL + test accounts</t>
        </is>
      </c>
    </row>
    <row r="24" ht="53.7" customHeight="1" s="29">
      <c r="A24" s="37" t="inlineStr">
        <is>
          <t>MX-RBAC-0022</t>
        </is>
      </c>
      <c r="B24" s="54" t="inlineStr">
        <is>
          <t>P1</t>
        </is>
      </c>
      <c r="C24" s="37" t="inlineStr">
        <is>
          <t>Backend+RBAC</t>
        </is>
      </c>
      <c r="D24" s="37" t="inlineStr">
        <is>
          <t>Parent portal &amp; child reports</t>
        </is>
      </c>
      <c r="E24" s="37" t="inlineStr">
        <is>
          <t>Verifies the access decision when a 'Teacher' account reaches the 'Parent portal &amp; child reports' area. RBAC is enforced server-side; the historical dual-admin and silent-admin-failure incidents came from getting exactly these decisions wrong. Expected owner of this area is 'Parent'.</t>
        </is>
      </c>
      <c r="F24" s="37" t="inlineStr">
        <is>
          <t>Teacher test account available; intercepting proxy for tamper attempts.</t>
        </is>
      </c>
      <c r="G24" s="37" t="inlineStr">
        <is>
          <t>1) Log in as Teacher (or stay anonymous). 2) Attempt to reach 'Parent portal &amp; child reports' directly by URL and by tampering the role in the request. 3) Observe.</t>
        </is>
      </c>
      <c r="H24" s="37" t="inlineStr">
        <is>
          <t>Access DENIED with a structured error (never a blank page, never data leakage); role tampering does not elevate; denial is server-side.</t>
        </is>
      </c>
      <c r="I24" s="37" t="inlineStr">
        <is>
          <t>Screenshot/response capture of the access decision</t>
        </is>
      </c>
      <c r="J24" s="43" t="inlineStr">
        <is>
          <t>NOT RUN</t>
        </is>
      </c>
      <c r="K24" s="37" t="inlineStr">
        <is>
          <t>Claude (pending env)</t>
        </is>
      </c>
      <c r="L24" s="37" t="n"/>
      <c r="M24" s="37" t="n"/>
      <c r="N24" s="37" t="inlineStr">
        <is>
          <t>[T4 | Phase 4 | Claude (pending env)] Playwright/authenticated-API against running env. awaiting running staging URL + test accounts</t>
        </is>
      </c>
    </row>
    <row r="25" ht="53.7" customHeight="1" s="29">
      <c r="A25" s="36" t="inlineStr">
        <is>
          <t>MX-RBAC-0023</t>
        </is>
      </c>
      <c r="B25" s="54" t="inlineStr">
        <is>
          <t>P1</t>
        </is>
      </c>
      <c r="C25" s="36" t="inlineStr">
        <is>
          <t>Backend+RBAC</t>
        </is>
      </c>
      <c r="D25" s="36" t="inlineStr">
        <is>
          <t>Parent portal &amp; child reports</t>
        </is>
      </c>
      <c r="E25" s="36" t="inlineStr">
        <is>
          <t>Verifies the access decision when a 'School Admin' account reaches the 'Parent portal &amp; child reports' area. RBAC is enforced server-side; the historical dual-admin and silent-admin-failure incidents came from getting exactly these decisions wrong. Expected owner of this area is 'Parent'.</t>
        </is>
      </c>
      <c r="F25" s="36" t="inlineStr">
        <is>
          <t>School Admin test account available; intercepting proxy for tamper attempts.</t>
        </is>
      </c>
      <c r="G25" s="36" t="inlineStr">
        <is>
          <t>1) Log in as School Admin (or stay anonymous). 2) Attempt to reach 'Parent portal &amp; child reports' directly by URL and by tampering the role in the request. 3) Observe.</t>
        </is>
      </c>
      <c r="H25" s="36" t="inlineStr">
        <is>
          <t>Access DENIED with a structured error (never a blank page, never data leakage); role tampering does not elevate; denial is server-side.</t>
        </is>
      </c>
      <c r="I25" s="36" t="inlineStr">
        <is>
          <t>Screenshot/response capture of the access decision</t>
        </is>
      </c>
      <c r="J25" s="41" t="inlineStr">
        <is>
          <t>NOT RUN</t>
        </is>
      </c>
      <c r="K25" s="36" t="inlineStr">
        <is>
          <t>Claude (pending env)</t>
        </is>
      </c>
      <c r="L25" s="36" t="n"/>
      <c r="M25" s="36" t="n"/>
      <c r="N25" s="36" t="inlineStr">
        <is>
          <t>[T4 | Phase 4 | Claude (pending env)] Playwright/authenticated-API against running env. awaiting running staging URL + test accounts</t>
        </is>
      </c>
    </row>
    <row r="26" ht="53.7" customHeight="1" s="29">
      <c r="A26" s="37" t="inlineStr">
        <is>
          <t>MX-RBAC-0024</t>
        </is>
      </c>
      <c r="B26" s="54" t="inlineStr">
        <is>
          <t>P1</t>
        </is>
      </c>
      <c r="C26" s="37" t="inlineStr">
        <is>
          <t>Backend+RBAC</t>
        </is>
      </c>
      <c r="D26" s="37" t="inlineStr">
        <is>
          <t>Parent portal &amp; child reports</t>
        </is>
      </c>
      <c r="E26" s="37" t="inlineStr">
        <is>
          <t>Verifies the access decision when a 'Super Admin' account reaches the 'Parent portal &amp; child reports' area. RBAC is enforced server-side; the historical dual-admin and silent-admin-failure incidents came from getting exactly these decisions wrong. Expected owner of this area is 'Parent'.</t>
        </is>
      </c>
      <c r="F26" s="37" t="inlineStr">
        <is>
          <t>Super Admin test account available; intercepting proxy for tamper attempts.</t>
        </is>
      </c>
      <c r="G26" s="37" t="inlineStr">
        <is>
          <t>1) Log in as Super Admin (or stay anonymous). 2) Attempt to reach 'Parent portal &amp; child reports' directly by URL and by tampering the role in the request. 3) Observe.</t>
        </is>
      </c>
      <c r="H26" s="37" t="inlineStr">
        <is>
          <t>Access DENIED with a structured error (never a blank page, never data leakage); role tampering does not elevate; denial is server-side.</t>
        </is>
      </c>
      <c r="I26" s="37" t="inlineStr">
        <is>
          <t>Screenshot/response capture of the access decision</t>
        </is>
      </c>
      <c r="J26" s="43" t="inlineStr">
        <is>
          <t>NOT RUN</t>
        </is>
      </c>
      <c r="K26" s="37" t="inlineStr">
        <is>
          <t>Claude (pending env)</t>
        </is>
      </c>
      <c r="L26" s="37" t="n"/>
      <c r="M26" s="37" t="n"/>
      <c r="N26" s="37" t="inlineStr">
        <is>
          <t>[T4 | Phase 4 | Claude (pending env)] Playwright/authenticated-API against running env. awaiting running staging URL + test accounts</t>
        </is>
      </c>
    </row>
    <row r="27" ht="53.7" customHeight="1" s="29">
      <c r="A27" s="36" t="inlineStr">
        <is>
          <t>MX-RBAC-0025</t>
        </is>
      </c>
      <c r="B27" s="53" t="inlineStr">
        <is>
          <t>P0</t>
        </is>
      </c>
      <c r="C27" s="36" t="inlineStr">
        <is>
          <t>Backend+RBAC</t>
        </is>
      </c>
      <c r="D27" s="36" t="inlineStr">
        <is>
          <t>Parent consent &amp; linking</t>
        </is>
      </c>
      <c r="E27" s="36" t="inlineStr">
        <is>
          <t>Verifies the access decision when a 'Anonymous' account reaches the 'Parent consent &amp; linking' area. RBAC is enforced server-side; the historical dual-admin and silent-admin-failure incidents came from getting exactly these decisions wrong. Expected owner of this area is 'Parent'.</t>
        </is>
      </c>
      <c r="F27" s="36" t="inlineStr">
        <is>
          <t>Anonymous test account available; intercepting proxy for tamper attempts.</t>
        </is>
      </c>
      <c r="G27" s="36" t="inlineStr">
        <is>
          <t>1) Log in as Anonymous (or stay anonymous). 2) Attempt to reach 'Parent consent &amp; linking' directly by URL and by tampering the role in the request. 3) Observe.</t>
        </is>
      </c>
      <c r="H27" s="36" t="inlineStr">
        <is>
          <t>Access DENIED with a structured error (never a blank page, never data leakage); role tampering does not elevate; denial is server-side.</t>
        </is>
      </c>
      <c r="I27" s="36" t="inlineStr">
        <is>
          <t>Screenshot/response capture of the access decision</t>
        </is>
      </c>
      <c r="J27" s="41" t="inlineStr">
        <is>
          <t>NOT RUN</t>
        </is>
      </c>
      <c r="K27" s="36" t="inlineStr">
        <is>
          <t>Claude (pending env)</t>
        </is>
      </c>
      <c r="L27" s="36" t="n"/>
      <c r="M27" s="36" t="n"/>
      <c r="N27" s="36" t="inlineStr">
        <is>
          <t>[T4 | Phase 4 | Claude (pending env)] Playwright/authenticated-API against running env. awaiting running staging URL + test accounts</t>
        </is>
      </c>
    </row>
    <row r="28" ht="53.7" customHeight="1" s="29">
      <c r="A28" s="37" t="inlineStr">
        <is>
          <t>MX-RBAC-0026</t>
        </is>
      </c>
      <c r="B28" s="53" t="inlineStr">
        <is>
          <t>P0</t>
        </is>
      </c>
      <c r="C28" s="37" t="inlineStr">
        <is>
          <t>Backend+RBAC</t>
        </is>
      </c>
      <c r="D28" s="37" t="inlineStr">
        <is>
          <t>Parent consent &amp; linking</t>
        </is>
      </c>
      <c r="E28" s="37" t="inlineStr">
        <is>
          <t>Verifies the access decision when a 'Student' account reaches the 'Parent consent &amp; linking' area. RBAC is enforced server-side; the historical dual-admin and silent-admin-failure incidents came from getting exactly these decisions wrong. Expected owner of this area is 'Parent'.</t>
        </is>
      </c>
      <c r="F28" s="37" t="inlineStr">
        <is>
          <t>Student test account available; intercepting proxy for tamper attempts.</t>
        </is>
      </c>
      <c r="G28" s="37" t="inlineStr">
        <is>
          <t>1) Log in as Student (or stay anonymous). 2) Attempt to reach 'Parent consent &amp; linking' directly by URL and by tampering the role in the request. 3) Observe.</t>
        </is>
      </c>
      <c r="H28" s="37" t="inlineStr">
        <is>
          <t>Access DENIED with a structured error (never a blank page, never data leakage); role tampering does not elevate; denial is server-side.</t>
        </is>
      </c>
      <c r="I28" s="37" t="inlineStr">
        <is>
          <t>Screenshot/response capture of the access decision</t>
        </is>
      </c>
      <c r="J28" s="43" t="inlineStr">
        <is>
          <t>NOT RUN</t>
        </is>
      </c>
      <c r="K28" s="37" t="inlineStr">
        <is>
          <t>Claude (pending env)</t>
        </is>
      </c>
      <c r="L28" s="37" t="n"/>
      <c r="M28" s="37" t="n"/>
      <c r="N28" s="37" t="inlineStr">
        <is>
          <t>[T4 | Phase 4 | Claude (pending env)] Playwright/authenticated-API against running env. awaiting running staging URL + test accounts</t>
        </is>
      </c>
    </row>
    <row r="29" ht="53.7" customHeight="1" s="29">
      <c r="A29" s="36" t="inlineStr">
        <is>
          <t>MX-RBAC-0027</t>
        </is>
      </c>
      <c r="B29" s="53" t="inlineStr">
        <is>
          <t>P0</t>
        </is>
      </c>
      <c r="C29" s="36" t="inlineStr">
        <is>
          <t>Backend+RBAC</t>
        </is>
      </c>
      <c r="D29" s="36" t="inlineStr">
        <is>
          <t>Parent consent &amp; linking</t>
        </is>
      </c>
      <c r="E29" s="36" t="inlineStr">
        <is>
          <t>Verifies the access decision when a 'Parent' account reaches the 'Parent consent &amp; linking' area. RBAC is enforced server-side; the historical dual-admin and silent-admin-failure incidents came from getting exactly these decisions wrong. Expected owner of this area is 'Parent'.</t>
        </is>
      </c>
      <c r="F29" s="36" t="inlineStr">
        <is>
          <t>Parent test account available; intercepting proxy for tamper attempts.</t>
        </is>
      </c>
      <c r="G29" s="36" t="inlineStr">
        <is>
          <t>1) Log in as Parent. 2) Open the 'Parent consent &amp; linking' area normally. 3) Confirm full, correct access and that the action audit-logs where applicable.</t>
        </is>
      </c>
      <c r="H29" s="36" t="inlineStr">
        <is>
          <t>Parent has correct access to 'Parent consent &amp; linking'; server-side role check passes; audited where relevant.</t>
        </is>
      </c>
      <c r="I29" s="36" t="inlineStr">
        <is>
          <t>Screenshot/response capture of the access decision</t>
        </is>
      </c>
      <c r="J29" s="41" t="inlineStr">
        <is>
          <t>NOT RUN</t>
        </is>
      </c>
      <c r="K29" s="36" t="inlineStr">
        <is>
          <t>Claude (pending env)</t>
        </is>
      </c>
      <c r="L29" s="36" t="n"/>
      <c r="M29" s="36" t="n"/>
      <c r="N29" s="36" t="inlineStr">
        <is>
          <t>[T4 | Phase 4 | Claude (pending env)] Playwright/authenticated-API against running env. awaiting running staging URL + test accounts</t>
        </is>
      </c>
    </row>
    <row r="30" ht="53.7" customHeight="1" s="29">
      <c r="A30" s="37" t="inlineStr">
        <is>
          <t>MX-RBAC-0028</t>
        </is>
      </c>
      <c r="B30" s="53" t="inlineStr">
        <is>
          <t>P0</t>
        </is>
      </c>
      <c r="C30" s="37" t="inlineStr">
        <is>
          <t>Backend+RBAC</t>
        </is>
      </c>
      <c r="D30" s="37" t="inlineStr">
        <is>
          <t>Parent consent &amp; linking</t>
        </is>
      </c>
      <c r="E30" s="37" t="inlineStr">
        <is>
          <t>Verifies the access decision when a 'Teacher' account reaches the 'Parent consent &amp; linking' area. RBAC is enforced server-side; the historical dual-admin and silent-admin-failure incidents came from getting exactly these decisions wrong. Expected owner of this area is 'Parent'.</t>
        </is>
      </c>
      <c r="F30" s="37" t="inlineStr">
        <is>
          <t>Teacher test account available; intercepting proxy for tamper attempts.</t>
        </is>
      </c>
      <c r="G30" s="37" t="inlineStr">
        <is>
          <t>1) Log in as Teacher (or stay anonymous). 2) Attempt to reach 'Parent consent &amp; linking' directly by URL and by tampering the role in the request. 3) Observe.</t>
        </is>
      </c>
      <c r="H30" s="37" t="inlineStr">
        <is>
          <t>Access DENIED with a structured error (never a blank page, never data leakage); role tampering does not elevate; denial is server-side.</t>
        </is>
      </c>
      <c r="I30" s="37" t="inlineStr">
        <is>
          <t>Screenshot/response capture of the access decision</t>
        </is>
      </c>
      <c r="J30" s="43" t="inlineStr">
        <is>
          <t>NOT RUN</t>
        </is>
      </c>
      <c r="K30" s="37" t="inlineStr">
        <is>
          <t>Claude (pending env)</t>
        </is>
      </c>
      <c r="L30" s="37" t="n"/>
      <c r="M30" s="37" t="n"/>
      <c r="N30" s="37" t="inlineStr">
        <is>
          <t>[T4 | Phase 4 | Claude (pending env)] Playwright/authenticated-API against running env. awaiting running staging URL + test accounts</t>
        </is>
      </c>
    </row>
    <row r="31" ht="53.7" customHeight="1" s="29">
      <c r="A31" s="36" t="inlineStr">
        <is>
          <t>MX-RBAC-0029</t>
        </is>
      </c>
      <c r="B31" s="53" t="inlineStr">
        <is>
          <t>P0</t>
        </is>
      </c>
      <c r="C31" s="36" t="inlineStr">
        <is>
          <t>Backend+RBAC</t>
        </is>
      </c>
      <c r="D31" s="36" t="inlineStr">
        <is>
          <t>Parent consent &amp; linking</t>
        </is>
      </c>
      <c r="E31" s="36" t="inlineStr">
        <is>
          <t>Verifies the access decision when a 'School Admin' account reaches the 'Parent consent &amp; linking' area. RBAC is enforced server-side; the historical dual-admin and silent-admin-failure incidents came from getting exactly these decisions wrong. Expected owner of this area is 'Parent'.</t>
        </is>
      </c>
      <c r="F31" s="36" t="inlineStr">
        <is>
          <t>School Admin test account available; intercepting proxy for tamper attempts.</t>
        </is>
      </c>
      <c r="G31" s="36" t="inlineStr">
        <is>
          <t>1) Log in as School Admin (or stay anonymous). 2) Attempt to reach 'Parent consent &amp; linking' directly by URL and by tampering the role in the request. 3) Observe.</t>
        </is>
      </c>
      <c r="H31" s="36" t="inlineStr">
        <is>
          <t>Access DENIED with a structured error (never a blank page, never data leakage); role tampering does not elevate; denial is server-side.</t>
        </is>
      </c>
      <c r="I31" s="36" t="inlineStr">
        <is>
          <t>Screenshot/response capture of the access decision</t>
        </is>
      </c>
      <c r="J31" s="41" t="inlineStr">
        <is>
          <t>NOT RUN</t>
        </is>
      </c>
      <c r="K31" s="36" t="inlineStr">
        <is>
          <t>Claude (pending env)</t>
        </is>
      </c>
      <c r="L31" s="36" t="n"/>
      <c r="M31" s="36" t="n"/>
      <c r="N31" s="36" t="inlineStr">
        <is>
          <t>[T4 | Phase 4 | Claude (pending env)] Playwright/authenticated-API against running env. awaiting running staging URL + test accounts</t>
        </is>
      </c>
    </row>
    <row r="32" ht="53.7" customHeight="1" s="29">
      <c r="A32" s="37" t="inlineStr">
        <is>
          <t>MX-RBAC-0030</t>
        </is>
      </c>
      <c r="B32" s="53" t="inlineStr">
        <is>
          <t>P0</t>
        </is>
      </c>
      <c r="C32" s="37" t="inlineStr">
        <is>
          <t>Backend+RBAC</t>
        </is>
      </c>
      <c r="D32" s="37" t="inlineStr">
        <is>
          <t>Parent consent &amp; linking</t>
        </is>
      </c>
      <c r="E32" s="37" t="inlineStr">
        <is>
          <t>Verifies the access decision when a 'Super Admin' account reaches the 'Parent consent &amp; linking' area. RBAC is enforced server-side; the historical dual-admin and silent-admin-failure incidents came from getting exactly these decisions wrong. Expected owner of this area is 'Parent'.</t>
        </is>
      </c>
      <c r="F32" s="37" t="inlineStr">
        <is>
          <t>Super Admin test account available; intercepting proxy for tamper attempts.</t>
        </is>
      </c>
      <c r="G32" s="37" t="inlineStr">
        <is>
          <t>1) Log in as Super Admin (or stay anonymous). 2) Attempt to reach 'Parent consent &amp; linking' directly by URL and by tampering the role in the request. 3) Observe.</t>
        </is>
      </c>
      <c r="H32" s="37" t="inlineStr">
        <is>
          <t>Access DENIED with a structured error (never a blank page, never data leakage); role tampering does not elevate; denial is server-side.</t>
        </is>
      </c>
      <c r="I32" s="37" t="inlineStr">
        <is>
          <t>Screenshot/response capture of the access decision</t>
        </is>
      </c>
      <c r="J32" s="43" t="inlineStr">
        <is>
          <t>NOT RUN</t>
        </is>
      </c>
      <c r="K32" s="37" t="inlineStr">
        <is>
          <t>Claude (pending env)</t>
        </is>
      </c>
      <c r="L32" s="37" t="n"/>
      <c r="M32" s="37" t="n"/>
      <c r="N32" s="37" t="inlineStr">
        <is>
          <t>[T4 | Phase 4 | Claude (pending env)] Playwright/authenticated-API against running env. awaiting running staging URL + test accounts</t>
        </is>
      </c>
    </row>
    <row r="33" ht="53.7" customHeight="1" s="29">
      <c r="A33" s="36" t="inlineStr">
        <is>
          <t>MX-RBAC-0031</t>
        </is>
      </c>
      <c r="B33" s="54" t="inlineStr">
        <is>
          <t>P1</t>
        </is>
      </c>
      <c r="C33" s="36" t="inlineStr">
        <is>
          <t>Backend+RBAC</t>
        </is>
      </c>
      <c r="D33" s="36" t="inlineStr">
        <is>
          <t>Teacher roster &amp; heatmap</t>
        </is>
      </c>
      <c r="E33" s="36" t="inlineStr">
        <is>
          <t>Verifies the access decision when a 'Anonymous' account reaches the 'Teacher roster &amp; heatmap' area. RBAC is enforced server-side; the historical dual-admin and silent-admin-failure incidents came from getting exactly these decisions wrong. Expected owner of this area is 'Teacher'.</t>
        </is>
      </c>
      <c r="F33" s="36" t="inlineStr">
        <is>
          <t>Anonymous test account available; intercepting proxy for tamper attempts.</t>
        </is>
      </c>
      <c r="G33" s="36" t="inlineStr">
        <is>
          <t>1) Log in as Anonymous (or stay anonymous). 2) Attempt to reach 'Teacher roster &amp; heatmap' directly by URL and by tampering the role in the request. 3) Observe.</t>
        </is>
      </c>
      <c r="H33" s="36" t="inlineStr">
        <is>
          <t>Access DENIED with a structured error (never a blank page, never data leakage); role tampering does not elevate; denial is server-side.</t>
        </is>
      </c>
      <c r="I33" s="36" t="inlineStr">
        <is>
          <t>Screenshot/response capture of the access decision</t>
        </is>
      </c>
      <c r="J33" s="41" t="inlineStr">
        <is>
          <t>NOT RUN</t>
        </is>
      </c>
      <c r="K33" s="36" t="inlineStr">
        <is>
          <t>Claude (pending env)</t>
        </is>
      </c>
      <c r="L33" s="36" t="n"/>
      <c r="M33" s="36" t="n"/>
      <c r="N33" s="36" t="inlineStr">
        <is>
          <t>[T4 | Phase 4 | Claude (pending env)] Playwright/authenticated-API against running env. awaiting running staging URL + test accounts</t>
        </is>
      </c>
    </row>
    <row r="34" ht="53.7" customHeight="1" s="29">
      <c r="A34" s="37" t="inlineStr">
        <is>
          <t>MX-RBAC-0032</t>
        </is>
      </c>
      <c r="B34" s="54" t="inlineStr">
        <is>
          <t>P1</t>
        </is>
      </c>
      <c r="C34" s="37" t="inlineStr">
        <is>
          <t>Backend+RBAC</t>
        </is>
      </c>
      <c r="D34" s="37" t="inlineStr">
        <is>
          <t>Teacher roster &amp; heatmap</t>
        </is>
      </c>
      <c r="E34" s="37" t="inlineStr">
        <is>
          <t>Verifies the access decision when a 'Student' account reaches the 'Teacher roster &amp; heatmap' area. RBAC is enforced server-side; the historical dual-admin and silent-admin-failure incidents came from getting exactly these decisions wrong. Expected owner of this area is 'Teacher'.</t>
        </is>
      </c>
      <c r="F34" s="37" t="inlineStr">
        <is>
          <t>Student test account available; intercepting proxy for tamper attempts.</t>
        </is>
      </c>
      <c r="G34" s="37" t="inlineStr">
        <is>
          <t>1) Log in as Student (or stay anonymous). 2) Attempt to reach 'Teacher roster &amp; heatmap' directly by URL and by tampering the role in the request. 3) Observe.</t>
        </is>
      </c>
      <c r="H34" s="37" t="inlineStr">
        <is>
          <t>Access DENIED with a structured error (never a blank page, never data leakage); role tampering does not elevate; denial is server-side.</t>
        </is>
      </c>
      <c r="I34" s="37" t="inlineStr">
        <is>
          <t>Screenshot/response capture of the access decision</t>
        </is>
      </c>
      <c r="J34" s="43" t="inlineStr">
        <is>
          <t>NOT RUN</t>
        </is>
      </c>
      <c r="K34" s="37" t="inlineStr">
        <is>
          <t>Claude (pending env)</t>
        </is>
      </c>
      <c r="L34" s="37" t="n"/>
      <c r="M34" s="37" t="n"/>
      <c r="N34" s="37" t="inlineStr">
        <is>
          <t>[T4 | Phase 4 | Claude (pending env)] Playwright/authenticated-API against running env. awaiting running staging URL + test accounts</t>
        </is>
      </c>
    </row>
    <row r="35" ht="53.7" customHeight="1" s="29">
      <c r="A35" s="36" t="inlineStr">
        <is>
          <t>MX-RBAC-0033</t>
        </is>
      </c>
      <c r="B35" s="54" t="inlineStr">
        <is>
          <t>P1</t>
        </is>
      </c>
      <c r="C35" s="36" t="inlineStr">
        <is>
          <t>Backend+RBAC</t>
        </is>
      </c>
      <c r="D35" s="36" t="inlineStr">
        <is>
          <t>Teacher roster &amp; heatmap</t>
        </is>
      </c>
      <c r="E35" s="36" t="inlineStr">
        <is>
          <t>Verifies the access decision when a 'Parent' account reaches the 'Teacher roster &amp; heatmap' area. RBAC is enforced server-side; the historical dual-admin and silent-admin-failure incidents came from getting exactly these decisions wrong. Expected owner of this area is 'Teacher'.</t>
        </is>
      </c>
      <c r="F35" s="36" t="inlineStr">
        <is>
          <t>Parent test account available; intercepting proxy for tamper attempts.</t>
        </is>
      </c>
      <c r="G35" s="36" t="inlineStr">
        <is>
          <t>1) Log in as Parent (or stay anonymous). 2) Attempt to reach 'Teacher roster &amp; heatmap' directly by URL and by tampering the role in the request. 3) Observe.</t>
        </is>
      </c>
      <c r="H35" s="36" t="inlineStr">
        <is>
          <t>Access DENIED with a structured error (never a blank page, never data leakage); role tampering does not elevate; denial is server-side.</t>
        </is>
      </c>
      <c r="I35" s="36" t="inlineStr">
        <is>
          <t>Screenshot/response capture of the access decision</t>
        </is>
      </c>
      <c r="J35" s="41" t="inlineStr">
        <is>
          <t>NOT RUN</t>
        </is>
      </c>
      <c r="K35" s="36" t="inlineStr">
        <is>
          <t>Claude (pending env)</t>
        </is>
      </c>
      <c r="L35" s="36" t="n"/>
      <c r="M35" s="36" t="n"/>
      <c r="N35" s="36" t="inlineStr">
        <is>
          <t>[T4 | Phase 4 | Claude (pending env)] Playwright/authenticated-API against running env. awaiting running staging URL + test accounts</t>
        </is>
      </c>
    </row>
    <row r="36" ht="53.7" customHeight="1" s="29">
      <c r="A36" s="37" t="inlineStr">
        <is>
          <t>MX-RBAC-0034</t>
        </is>
      </c>
      <c r="B36" s="54" t="inlineStr">
        <is>
          <t>P1</t>
        </is>
      </c>
      <c r="C36" s="37" t="inlineStr">
        <is>
          <t>Backend+RBAC</t>
        </is>
      </c>
      <c r="D36" s="37" t="inlineStr">
        <is>
          <t>Teacher roster &amp; heatmap</t>
        </is>
      </c>
      <c r="E36" s="37" t="inlineStr">
        <is>
          <t>Verifies the access decision when a 'Teacher' account reaches the 'Teacher roster &amp; heatmap' area. RBAC is enforced server-side; the historical dual-admin and silent-admin-failure incidents came from getting exactly these decisions wrong. Expected owner of this area is 'Teacher'.</t>
        </is>
      </c>
      <c r="F36" s="37" t="inlineStr">
        <is>
          <t>Teacher test account available; intercepting proxy for tamper attempts.</t>
        </is>
      </c>
      <c r="G36" s="37" t="inlineStr">
        <is>
          <t>1) Log in as Teacher. 2) Open the 'Teacher roster &amp; heatmap' area normally. 3) Confirm full, correct access and that the action audit-logs where applicable.</t>
        </is>
      </c>
      <c r="H36" s="37" t="inlineStr">
        <is>
          <t>Teacher has correct access to 'Teacher roster &amp; heatmap'; server-side role check passes; audited where relevant.</t>
        </is>
      </c>
      <c r="I36" s="37" t="inlineStr">
        <is>
          <t>Screenshot/response capture of the access decision</t>
        </is>
      </c>
      <c r="J36" s="43" t="inlineStr">
        <is>
          <t>NOT RUN</t>
        </is>
      </c>
      <c r="K36" s="37" t="inlineStr">
        <is>
          <t>Claude (pending env)</t>
        </is>
      </c>
      <c r="L36" s="37" t="n"/>
      <c r="M36" s="37" t="n"/>
      <c r="N36" s="37" t="inlineStr">
        <is>
          <t>[T4 | Phase 4 | Claude (pending env)] Playwright/authenticated-API against running env. awaiting running staging URL + test accounts</t>
        </is>
      </c>
    </row>
    <row r="37" ht="53.7" customHeight="1" s="29">
      <c r="A37" s="36" t="inlineStr">
        <is>
          <t>MX-RBAC-0035</t>
        </is>
      </c>
      <c r="B37" s="54" t="inlineStr">
        <is>
          <t>P1</t>
        </is>
      </c>
      <c r="C37" s="36" t="inlineStr">
        <is>
          <t>Backend+RBAC</t>
        </is>
      </c>
      <c r="D37" s="36" t="inlineStr">
        <is>
          <t>Teacher roster &amp; heatmap</t>
        </is>
      </c>
      <c r="E37" s="36" t="inlineStr">
        <is>
          <t>Verifies the access decision when a 'School Admin' account reaches the 'Teacher roster &amp; heatmap' area. RBAC is enforced server-side; the historical dual-admin and silent-admin-failure incidents came from getting exactly these decisions wrong. Expected owner of this area is 'Teacher'.</t>
        </is>
      </c>
      <c r="F37" s="36" t="inlineStr">
        <is>
          <t>School Admin test account available; intercepting proxy for tamper attempts.</t>
        </is>
      </c>
      <c r="G37" s="36" t="inlineStr">
        <is>
          <t>1) Log in as School Admin (or stay anonymous). 2) Attempt to reach 'Teacher roster &amp; heatmap' directly by URL and by tampering the role in the request. 3) Observe.</t>
        </is>
      </c>
      <c r="H37" s="36" t="inlineStr">
        <is>
          <t>Access DENIED with a structured error (never a blank page, never data leakage); role tampering does not elevate; denial is server-side.</t>
        </is>
      </c>
      <c r="I37" s="36" t="inlineStr">
        <is>
          <t>Screenshot/response capture of the access decision</t>
        </is>
      </c>
      <c r="J37" s="41" t="inlineStr">
        <is>
          <t>NOT RUN</t>
        </is>
      </c>
      <c r="K37" s="36" t="inlineStr">
        <is>
          <t>Claude (pending env)</t>
        </is>
      </c>
      <c r="L37" s="36" t="n"/>
      <c r="M37" s="36" t="n"/>
      <c r="N37" s="36" t="inlineStr">
        <is>
          <t>[T4 | Phase 4 | Claude (pending env)] Playwright/authenticated-API against running env. awaiting running staging URL + test accounts</t>
        </is>
      </c>
    </row>
    <row r="38" ht="53.7" customHeight="1" s="29">
      <c r="A38" s="37" t="inlineStr">
        <is>
          <t>MX-RBAC-0036</t>
        </is>
      </c>
      <c r="B38" s="54" t="inlineStr">
        <is>
          <t>P1</t>
        </is>
      </c>
      <c r="C38" s="37" t="inlineStr">
        <is>
          <t>Backend+RBAC</t>
        </is>
      </c>
      <c r="D38" s="37" t="inlineStr">
        <is>
          <t>Teacher roster &amp; heatmap</t>
        </is>
      </c>
      <c r="E38" s="37" t="inlineStr">
        <is>
          <t>Verifies the access decision when a 'Super Admin' account reaches the 'Teacher roster &amp; heatmap' area. RBAC is enforced server-side; the historical dual-admin and silent-admin-failure incidents came from getting exactly these decisions wrong. Expected owner of this area is 'Teacher'.</t>
        </is>
      </c>
      <c r="F38" s="37" t="inlineStr">
        <is>
          <t>Super Admin test account available; intercepting proxy for tamper attempts.</t>
        </is>
      </c>
      <c r="G38" s="37" t="inlineStr">
        <is>
          <t>1) Log in as Super Admin (or stay anonymous). 2) Attempt to reach 'Teacher roster &amp; heatmap' directly by URL and by tampering the role in the request. 3) Observe.</t>
        </is>
      </c>
      <c r="H38" s="37" t="inlineStr">
        <is>
          <t>Access DENIED with a structured error (never a blank page, never data leakage); role tampering does not elevate; denial is server-side.</t>
        </is>
      </c>
      <c r="I38" s="37" t="inlineStr">
        <is>
          <t>Screenshot/response capture of the access decision</t>
        </is>
      </c>
      <c r="J38" s="43" t="inlineStr">
        <is>
          <t>NOT RUN</t>
        </is>
      </c>
      <c r="K38" s="37" t="inlineStr">
        <is>
          <t>Claude (pending env)</t>
        </is>
      </c>
      <c r="L38" s="37" t="n"/>
      <c r="M38" s="37" t="n"/>
      <c r="N38" s="37" t="inlineStr">
        <is>
          <t>[T4 | Phase 4 | Claude (pending env)] Playwright/authenticated-API against running env. awaiting running staging URL + test accounts</t>
        </is>
      </c>
    </row>
    <row r="39" ht="53.7" customHeight="1" s="29">
      <c r="A39" s="36" t="inlineStr">
        <is>
          <t>MX-RBAC-0037</t>
        </is>
      </c>
      <c r="B39" s="54" t="inlineStr">
        <is>
          <t>P1</t>
        </is>
      </c>
      <c r="C39" s="36" t="inlineStr">
        <is>
          <t>Backend+RBAC</t>
        </is>
      </c>
      <c r="D39" s="36" t="inlineStr">
        <is>
          <t>Teacher remediation assignment</t>
        </is>
      </c>
      <c r="E39" s="36" t="inlineStr">
        <is>
          <t>Verifies the access decision when a 'Anonymous' account reaches the 'Teacher remediation assignment' area. RBAC is enforced server-side; the historical dual-admin and silent-admin-failure incidents came from getting exactly these decisions wrong. Expected owner of this area is 'Teacher'.</t>
        </is>
      </c>
      <c r="F39" s="36" t="inlineStr">
        <is>
          <t>Anonymous test account available; intercepting proxy for tamper attempts.</t>
        </is>
      </c>
      <c r="G39" s="36" t="inlineStr">
        <is>
          <t>1) Log in as Anonymous (or stay anonymous). 2) Attempt to reach 'Teacher remediation assignment' directly by URL and by tampering the role in the request. 3) Observe.</t>
        </is>
      </c>
      <c r="H39" s="36" t="inlineStr">
        <is>
          <t>Access DENIED with a structured error (never a blank page, never data leakage); role tampering does not elevate; denial is server-side.</t>
        </is>
      </c>
      <c r="I39" s="36" t="inlineStr">
        <is>
          <t>Screenshot/response capture of the access decision</t>
        </is>
      </c>
      <c r="J39" s="41" t="inlineStr">
        <is>
          <t>NOT RUN</t>
        </is>
      </c>
      <c r="K39" s="36" t="inlineStr">
        <is>
          <t>Claude (pending env)</t>
        </is>
      </c>
      <c r="L39" s="36" t="n"/>
      <c r="M39" s="36" t="n"/>
      <c r="N39" s="36" t="inlineStr">
        <is>
          <t>[T4 | Phase 4 | Claude (pending env)] Playwright/authenticated-API against running env. awaiting running staging URL + test accounts</t>
        </is>
      </c>
    </row>
    <row r="40" ht="53.7" customHeight="1" s="29">
      <c r="A40" s="37" t="inlineStr">
        <is>
          <t>MX-RBAC-0038</t>
        </is>
      </c>
      <c r="B40" s="54" t="inlineStr">
        <is>
          <t>P1</t>
        </is>
      </c>
      <c r="C40" s="37" t="inlineStr">
        <is>
          <t>Backend+RBAC</t>
        </is>
      </c>
      <c r="D40" s="37" t="inlineStr">
        <is>
          <t>Teacher remediation assignment</t>
        </is>
      </c>
      <c r="E40" s="37" t="inlineStr">
        <is>
          <t>Verifies the access decision when a 'Student' account reaches the 'Teacher remediation assignment' area. RBAC is enforced server-side; the historical dual-admin and silent-admin-failure incidents came from getting exactly these decisions wrong. Expected owner of this area is 'Teacher'.</t>
        </is>
      </c>
      <c r="F40" s="37" t="inlineStr">
        <is>
          <t>Student test account available; intercepting proxy for tamper attempts.</t>
        </is>
      </c>
      <c r="G40" s="37" t="inlineStr">
        <is>
          <t>1) Log in as Student (or stay anonymous). 2) Attempt to reach 'Teacher remediation assignment' directly by URL and by tampering the role in the request. 3) Observe.</t>
        </is>
      </c>
      <c r="H40" s="37" t="inlineStr">
        <is>
          <t>Access DENIED with a structured error (never a blank page, never data leakage); role tampering does not elevate; denial is server-side.</t>
        </is>
      </c>
      <c r="I40" s="37" t="inlineStr">
        <is>
          <t>Screenshot/response capture of the access decision</t>
        </is>
      </c>
      <c r="J40" s="43" t="inlineStr">
        <is>
          <t>NOT RUN</t>
        </is>
      </c>
      <c r="K40" s="37" t="inlineStr">
        <is>
          <t>Claude (pending env)</t>
        </is>
      </c>
      <c r="L40" s="37" t="n"/>
      <c r="M40" s="37" t="n"/>
      <c r="N40" s="37" t="inlineStr">
        <is>
          <t>[T4 | Phase 4 | Claude (pending env)] Playwright/authenticated-API against running env. awaiting running staging URL + test accounts</t>
        </is>
      </c>
    </row>
    <row r="41" ht="53.7" customHeight="1" s="29">
      <c r="A41" s="36" t="inlineStr">
        <is>
          <t>MX-RBAC-0039</t>
        </is>
      </c>
      <c r="B41" s="54" t="inlineStr">
        <is>
          <t>P1</t>
        </is>
      </c>
      <c r="C41" s="36" t="inlineStr">
        <is>
          <t>Backend+RBAC</t>
        </is>
      </c>
      <c r="D41" s="36" t="inlineStr">
        <is>
          <t>Teacher remediation assignment</t>
        </is>
      </c>
      <c r="E41" s="36" t="inlineStr">
        <is>
          <t>Verifies the access decision when a 'Parent' account reaches the 'Teacher remediation assignment' area. RBAC is enforced server-side; the historical dual-admin and silent-admin-failure incidents came from getting exactly these decisions wrong. Expected owner of this area is 'Teacher'.</t>
        </is>
      </c>
      <c r="F41" s="36" t="inlineStr">
        <is>
          <t>Parent test account available; intercepting proxy for tamper attempts.</t>
        </is>
      </c>
      <c r="G41" s="36" t="inlineStr">
        <is>
          <t>1) Log in as Parent (or stay anonymous). 2) Attempt to reach 'Teacher remediation assignment' directly by URL and by tampering the role in the request. 3) Observe.</t>
        </is>
      </c>
      <c r="H41" s="36" t="inlineStr">
        <is>
          <t>Access DENIED with a structured error (never a blank page, never data leakage); role tampering does not elevate; denial is server-side.</t>
        </is>
      </c>
      <c r="I41" s="36" t="inlineStr">
        <is>
          <t>Screenshot/response capture of the access decision</t>
        </is>
      </c>
      <c r="J41" s="41" t="inlineStr">
        <is>
          <t>NOT RUN</t>
        </is>
      </c>
      <c r="K41" s="36" t="inlineStr">
        <is>
          <t>Claude (pending env)</t>
        </is>
      </c>
      <c r="L41" s="36" t="n"/>
      <c r="M41" s="36" t="n"/>
      <c r="N41" s="36" t="inlineStr">
        <is>
          <t>[T4 | Phase 4 | Claude (pending env)] Playwright/authenticated-API against running env. awaiting running staging URL + test accounts</t>
        </is>
      </c>
    </row>
    <row r="42" ht="53.7" customHeight="1" s="29">
      <c r="A42" s="37" t="inlineStr">
        <is>
          <t>MX-RBAC-0040</t>
        </is>
      </c>
      <c r="B42" s="54" t="inlineStr">
        <is>
          <t>P1</t>
        </is>
      </c>
      <c r="C42" s="37" t="inlineStr">
        <is>
          <t>Backend+RBAC</t>
        </is>
      </c>
      <c r="D42" s="37" t="inlineStr">
        <is>
          <t>Teacher remediation assignment</t>
        </is>
      </c>
      <c r="E42" s="37" t="inlineStr">
        <is>
          <t>Verifies the access decision when a 'Teacher' account reaches the 'Teacher remediation assignment' area. RBAC is enforced server-side; the historical dual-admin and silent-admin-failure incidents came from getting exactly these decisions wrong. Expected owner of this area is 'Teacher'.</t>
        </is>
      </c>
      <c r="F42" s="37" t="inlineStr">
        <is>
          <t>Teacher test account available; intercepting proxy for tamper attempts.</t>
        </is>
      </c>
      <c r="G42" s="37" t="inlineStr">
        <is>
          <t>1) Log in as Teacher. 2) Open the 'Teacher remediation assignment' area normally. 3) Confirm full, correct access and that the action audit-logs where applicable.</t>
        </is>
      </c>
      <c r="H42" s="37" t="inlineStr">
        <is>
          <t>Teacher has correct access to 'Teacher remediation assignment'; server-side role check passes; audited where relevant.</t>
        </is>
      </c>
      <c r="I42" s="37" t="inlineStr">
        <is>
          <t>Screenshot/response capture of the access decision</t>
        </is>
      </c>
      <c r="J42" s="43" t="inlineStr">
        <is>
          <t>NOT RUN</t>
        </is>
      </c>
      <c r="K42" s="37" t="inlineStr">
        <is>
          <t>Claude (pending env)</t>
        </is>
      </c>
      <c r="L42" s="37" t="n"/>
      <c r="M42" s="37" t="n"/>
      <c r="N42" s="37" t="inlineStr">
        <is>
          <t>[T4 | Phase 4 | Claude (pending env)] Playwright/authenticated-API against running env. awaiting running staging URL + test accounts</t>
        </is>
      </c>
    </row>
    <row r="43" ht="53.7" customHeight="1" s="29">
      <c r="A43" s="36" t="inlineStr">
        <is>
          <t>MX-RBAC-0041</t>
        </is>
      </c>
      <c r="B43" s="54" t="inlineStr">
        <is>
          <t>P1</t>
        </is>
      </c>
      <c r="C43" s="36" t="inlineStr">
        <is>
          <t>Backend+RBAC</t>
        </is>
      </c>
      <c r="D43" s="36" t="inlineStr">
        <is>
          <t>Teacher remediation assignment</t>
        </is>
      </c>
      <c r="E43" s="36" t="inlineStr">
        <is>
          <t>Verifies the access decision when a 'School Admin' account reaches the 'Teacher remediation assignment' area. RBAC is enforced server-side; the historical dual-admin and silent-admin-failure incidents came from getting exactly these decisions wrong. Expected owner of this area is 'Teacher'.</t>
        </is>
      </c>
      <c r="F43" s="36" t="inlineStr">
        <is>
          <t>School Admin test account available; intercepting proxy for tamper attempts.</t>
        </is>
      </c>
      <c r="G43" s="36" t="inlineStr">
        <is>
          <t>1) Log in as School Admin (or stay anonymous). 2) Attempt to reach 'Teacher remediation assignment' directly by URL and by tampering the role in the request. 3) Observe.</t>
        </is>
      </c>
      <c r="H43" s="36" t="inlineStr">
        <is>
          <t>Access DENIED with a structured error (never a blank page, never data leakage); role tampering does not elevate; denial is server-side.</t>
        </is>
      </c>
      <c r="I43" s="36" t="inlineStr">
        <is>
          <t>Screenshot/response capture of the access decision</t>
        </is>
      </c>
      <c r="J43" s="41" t="inlineStr">
        <is>
          <t>NOT RUN</t>
        </is>
      </c>
      <c r="K43" s="36" t="inlineStr">
        <is>
          <t>Claude (pending env)</t>
        </is>
      </c>
      <c r="L43" s="36" t="n"/>
      <c r="M43" s="36" t="n"/>
      <c r="N43" s="36" t="inlineStr">
        <is>
          <t>[T4 | Phase 4 | Claude (pending env)] Playwright/authenticated-API against running env. awaiting running staging URL + test accounts</t>
        </is>
      </c>
    </row>
    <row r="44" ht="53.7" customHeight="1" s="29">
      <c r="A44" s="37" t="inlineStr">
        <is>
          <t>MX-RBAC-0042</t>
        </is>
      </c>
      <c r="B44" s="54" t="inlineStr">
        <is>
          <t>P1</t>
        </is>
      </c>
      <c r="C44" s="37" t="inlineStr">
        <is>
          <t>Backend+RBAC</t>
        </is>
      </c>
      <c r="D44" s="37" t="inlineStr">
        <is>
          <t>Teacher remediation assignment</t>
        </is>
      </c>
      <c r="E44" s="37" t="inlineStr">
        <is>
          <t>Verifies the access decision when a 'Super Admin' account reaches the 'Teacher remediation assignment' area. RBAC is enforced server-side; the historical dual-admin and silent-admin-failure incidents came from getting exactly these decisions wrong. Expected owner of this area is 'Teacher'.</t>
        </is>
      </c>
      <c r="F44" s="37" t="inlineStr">
        <is>
          <t>Super Admin test account available; intercepting proxy for tamper attempts.</t>
        </is>
      </c>
      <c r="G44" s="37" t="inlineStr">
        <is>
          <t>1) Log in as Super Admin (or stay anonymous). 2) Attempt to reach 'Teacher remediation assignment' directly by URL and by tampering the role in the request. 3) Observe.</t>
        </is>
      </c>
      <c r="H44" s="37" t="inlineStr">
        <is>
          <t>Access DENIED with a structured error (never a blank page, never data leakage); role tampering does not elevate; denial is server-side.</t>
        </is>
      </c>
      <c r="I44" s="37" t="inlineStr">
        <is>
          <t>Screenshot/response capture of the access decision</t>
        </is>
      </c>
      <c r="J44" s="43" t="inlineStr">
        <is>
          <t>NOT RUN</t>
        </is>
      </c>
      <c r="K44" s="37" t="inlineStr">
        <is>
          <t>Claude (pending env)</t>
        </is>
      </c>
      <c r="L44" s="37" t="n"/>
      <c r="M44" s="37" t="n"/>
      <c r="N44" s="37" t="inlineStr">
        <is>
          <t>[T4 | Phase 4 | Claude (pending env)] Playwright/authenticated-API against running env. awaiting running staging URL + test accounts</t>
        </is>
      </c>
    </row>
    <row r="45" ht="53.7" customHeight="1" s="29">
      <c r="A45" s="36" t="inlineStr">
        <is>
          <t>MX-RBAC-0043</t>
        </is>
      </c>
      <c r="B45" s="54" t="inlineStr">
        <is>
          <t>P1</t>
        </is>
      </c>
      <c r="C45" s="36" t="inlineStr">
        <is>
          <t>Backend+RBAC</t>
        </is>
      </c>
      <c r="D45" s="36" t="inlineStr">
        <is>
          <t>Teacher↔parent messaging</t>
        </is>
      </c>
      <c r="E45" s="36" t="inlineStr">
        <is>
          <t>Verifies the access decision when a 'Anonymous' account reaches the 'Teacher↔parent messaging' area. RBAC is enforced server-side; the historical dual-admin and silent-admin-failure incidents came from getting exactly these decisions wrong. Expected owner of this area is 'Teacher'.</t>
        </is>
      </c>
      <c r="F45" s="36" t="inlineStr">
        <is>
          <t>Anonymous test account available; intercepting proxy for tamper attempts.</t>
        </is>
      </c>
      <c r="G45" s="36" t="inlineStr">
        <is>
          <t>1) Log in as Anonymous (or stay anonymous). 2) Attempt to reach 'Teacher↔parent messaging' directly by URL and by tampering the role in the request. 3) Observe.</t>
        </is>
      </c>
      <c r="H45" s="36" t="inlineStr">
        <is>
          <t>Access DENIED with a structured error (never a blank page, never data leakage); role tampering does not elevate; denial is server-side.</t>
        </is>
      </c>
      <c r="I45" s="36" t="inlineStr">
        <is>
          <t>Screenshot/response capture of the access decision</t>
        </is>
      </c>
      <c r="J45" s="41" t="inlineStr">
        <is>
          <t>NOT RUN</t>
        </is>
      </c>
      <c r="K45" s="36" t="inlineStr">
        <is>
          <t>Claude (pending env)</t>
        </is>
      </c>
      <c r="L45" s="36" t="n"/>
      <c r="M45" s="36" t="n"/>
      <c r="N45" s="36" t="inlineStr">
        <is>
          <t>[T4 | Phase 4 | Claude (pending env)] Playwright/authenticated-API against running env. awaiting running staging URL + test accounts</t>
        </is>
      </c>
    </row>
    <row r="46" ht="53.7" customHeight="1" s="29">
      <c r="A46" s="37" t="inlineStr">
        <is>
          <t>MX-RBAC-0044</t>
        </is>
      </c>
      <c r="B46" s="54" t="inlineStr">
        <is>
          <t>P1</t>
        </is>
      </c>
      <c r="C46" s="37" t="inlineStr">
        <is>
          <t>Backend+RBAC</t>
        </is>
      </c>
      <c r="D46" s="37" t="inlineStr">
        <is>
          <t>Teacher↔parent messaging</t>
        </is>
      </c>
      <c r="E46" s="37" t="inlineStr">
        <is>
          <t>Verifies the access decision when a 'Student' account reaches the 'Teacher↔parent messaging' area. RBAC is enforced server-side; the historical dual-admin and silent-admin-failure incidents came from getting exactly these decisions wrong. Expected owner of this area is 'Teacher'.</t>
        </is>
      </c>
      <c r="F46" s="37" t="inlineStr">
        <is>
          <t>Student test account available; intercepting proxy for tamper attempts.</t>
        </is>
      </c>
      <c r="G46" s="37" t="inlineStr">
        <is>
          <t>1) Log in as Student (or stay anonymous). 2) Attempt to reach 'Teacher↔parent messaging' directly by URL and by tampering the role in the request. 3) Observe.</t>
        </is>
      </c>
      <c r="H46" s="37" t="inlineStr">
        <is>
          <t>Access DENIED with a structured error (never a blank page, never data leakage); role tampering does not elevate; denial is server-side.</t>
        </is>
      </c>
      <c r="I46" s="37" t="inlineStr">
        <is>
          <t>Screenshot/response capture of the access decision</t>
        </is>
      </c>
      <c r="J46" s="43" t="inlineStr">
        <is>
          <t>NOT RUN</t>
        </is>
      </c>
      <c r="K46" s="37" t="inlineStr">
        <is>
          <t>Claude (pending env)</t>
        </is>
      </c>
      <c r="L46" s="37" t="n"/>
      <c r="M46" s="37" t="n"/>
      <c r="N46" s="37" t="inlineStr">
        <is>
          <t>[T4 | Phase 4 | Claude (pending env)] Playwright/authenticated-API against running env. awaiting running staging URL + test accounts</t>
        </is>
      </c>
    </row>
    <row r="47" ht="53.7" customHeight="1" s="29">
      <c r="A47" s="36" t="inlineStr">
        <is>
          <t>MX-RBAC-0045</t>
        </is>
      </c>
      <c r="B47" s="54" t="inlineStr">
        <is>
          <t>P1</t>
        </is>
      </c>
      <c r="C47" s="36" t="inlineStr">
        <is>
          <t>Backend+RBAC</t>
        </is>
      </c>
      <c r="D47" s="36" t="inlineStr">
        <is>
          <t>Teacher↔parent messaging</t>
        </is>
      </c>
      <c r="E47" s="36" t="inlineStr">
        <is>
          <t>Verifies the access decision when a 'Parent' account reaches the 'Teacher↔parent messaging' area. RBAC is enforced server-side; the historical dual-admin and silent-admin-failure incidents came from getting exactly these decisions wrong. Expected owner of this area is 'Teacher'.</t>
        </is>
      </c>
      <c r="F47" s="36" t="inlineStr">
        <is>
          <t>Parent test account available; intercepting proxy for tamper attempts.</t>
        </is>
      </c>
      <c r="G47" s="36" t="inlineStr">
        <is>
          <t>1) Log in as Parent (or stay anonymous). 2) Attempt to reach 'Teacher↔parent messaging' directly by URL and by tampering the role in the request. 3) Observe.</t>
        </is>
      </c>
      <c r="H47" s="36" t="inlineStr">
        <is>
          <t>Access DENIED with a structured error (never a blank page, never data leakage); role tampering does not elevate; denial is server-side.</t>
        </is>
      </c>
      <c r="I47" s="36" t="inlineStr">
        <is>
          <t>Screenshot/response capture of the access decision</t>
        </is>
      </c>
      <c r="J47" s="41" t="inlineStr">
        <is>
          <t>NOT RUN</t>
        </is>
      </c>
      <c r="K47" s="36" t="inlineStr">
        <is>
          <t>Claude (pending env)</t>
        </is>
      </c>
      <c r="L47" s="36" t="n"/>
      <c r="M47" s="36" t="n"/>
      <c r="N47" s="36" t="inlineStr">
        <is>
          <t>[T4 | Phase 4 | Claude (pending env)] Playwright/authenticated-API against running env. awaiting running staging URL + test accounts</t>
        </is>
      </c>
    </row>
    <row r="48" ht="53.7" customHeight="1" s="29">
      <c r="A48" s="37" t="inlineStr">
        <is>
          <t>MX-RBAC-0046</t>
        </is>
      </c>
      <c r="B48" s="54" t="inlineStr">
        <is>
          <t>P1</t>
        </is>
      </c>
      <c r="C48" s="37" t="inlineStr">
        <is>
          <t>Backend+RBAC</t>
        </is>
      </c>
      <c r="D48" s="37" t="inlineStr">
        <is>
          <t>Teacher↔parent messaging</t>
        </is>
      </c>
      <c r="E48" s="37" t="inlineStr">
        <is>
          <t>Verifies the access decision when a 'Teacher' account reaches the 'Teacher↔parent messaging' area. RBAC is enforced server-side; the historical dual-admin and silent-admin-failure incidents came from getting exactly these decisions wrong. Expected owner of this area is 'Teacher'.</t>
        </is>
      </c>
      <c r="F48" s="37" t="inlineStr">
        <is>
          <t>Teacher test account available; intercepting proxy for tamper attempts.</t>
        </is>
      </c>
      <c r="G48" s="37" t="inlineStr">
        <is>
          <t>1) Log in as Teacher. 2) Open the 'Teacher↔parent messaging' area normally. 3) Confirm full, correct access and that the action audit-logs where applicable.</t>
        </is>
      </c>
      <c r="H48" s="37" t="inlineStr">
        <is>
          <t>Teacher has correct access to 'Teacher↔parent messaging'; server-side role check passes; audited where relevant.</t>
        </is>
      </c>
      <c r="I48" s="37" t="inlineStr">
        <is>
          <t>Screenshot/response capture of the access decision</t>
        </is>
      </c>
      <c r="J48" s="43" t="inlineStr">
        <is>
          <t>NOT RUN</t>
        </is>
      </c>
      <c r="K48" s="37" t="inlineStr">
        <is>
          <t>Claude (pending env)</t>
        </is>
      </c>
      <c r="L48" s="37" t="n"/>
      <c r="M48" s="37" t="n"/>
      <c r="N48" s="37" t="inlineStr">
        <is>
          <t>[T4 | Phase 4 | Claude (pending env)] Playwright/authenticated-API against running env. awaiting running staging URL + test accounts</t>
        </is>
      </c>
    </row>
    <row r="49" ht="53.7" customHeight="1" s="29">
      <c r="A49" s="36" t="inlineStr">
        <is>
          <t>MX-RBAC-0047</t>
        </is>
      </c>
      <c r="B49" s="54" t="inlineStr">
        <is>
          <t>P1</t>
        </is>
      </c>
      <c r="C49" s="36" t="inlineStr">
        <is>
          <t>Backend+RBAC</t>
        </is>
      </c>
      <c r="D49" s="36" t="inlineStr">
        <is>
          <t>Teacher↔parent messaging</t>
        </is>
      </c>
      <c r="E49" s="36" t="inlineStr">
        <is>
          <t>Verifies the access decision when a 'School Admin' account reaches the 'Teacher↔parent messaging' area. RBAC is enforced server-side; the historical dual-admin and silent-admin-failure incidents came from getting exactly these decisions wrong. Expected owner of this area is 'Teacher'.</t>
        </is>
      </c>
      <c r="F49" s="36" t="inlineStr">
        <is>
          <t>School Admin test account available; intercepting proxy for tamper attempts.</t>
        </is>
      </c>
      <c r="G49" s="36" t="inlineStr">
        <is>
          <t>1) Log in as School Admin (or stay anonymous). 2) Attempt to reach 'Teacher↔parent messaging' directly by URL and by tampering the role in the request. 3) Observe.</t>
        </is>
      </c>
      <c r="H49" s="36" t="inlineStr">
        <is>
          <t>Access DENIED with a structured error (never a blank page, never data leakage); role tampering does not elevate; denial is server-side.</t>
        </is>
      </c>
      <c r="I49" s="36" t="inlineStr">
        <is>
          <t>Screenshot/response capture of the access decision</t>
        </is>
      </c>
      <c r="J49" s="41" t="inlineStr">
        <is>
          <t>NOT RUN</t>
        </is>
      </c>
      <c r="K49" s="36" t="inlineStr">
        <is>
          <t>Claude (pending env)</t>
        </is>
      </c>
      <c r="L49" s="36" t="n"/>
      <c r="M49" s="36" t="n"/>
      <c r="N49" s="36" t="inlineStr">
        <is>
          <t>[T4 | Phase 4 | Claude (pending env)] Playwright/authenticated-API against running env. awaiting running staging URL + test accounts</t>
        </is>
      </c>
    </row>
    <row r="50" ht="53.7" customHeight="1" s="29">
      <c r="A50" s="37" t="inlineStr">
        <is>
          <t>MX-RBAC-0048</t>
        </is>
      </c>
      <c r="B50" s="54" t="inlineStr">
        <is>
          <t>P1</t>
        </is>
      </c>
      <c r="C50" s="37" t="inlineStr">
        <is>
          <t>Backend+RBAC</t>
        </is>
      </c>
      <c r="D50" s="37" t="inlineStr">
        <is>
          <t>Teacher↔parent messaging</t>
        </is>
      </c>
      <c r="E50" s="37" t="inlineStr">
        <is>
          <t>Verifies the access decision when a 'Super Admin' account reaches the 'Teacher↔parent messaging' area. RBAC is enforced server-side; the historical dual-admin and silent-admin-failure incidents came from getting exactly these decisions wrong. Expected owner of this area is 'Teacher'.</t>
        </is>
      </c>
      <c r="F50" s="37" t="inlineStr">
        <is>
          <t>Super Admin test account available; intercepting proxy for tamper attempts.</t>
        </is>
      </c>
      <c r="G50" s="37" t="inlineStr">
        <is>
          <t>1) Log in as Super Admin (or stay anonymous). 2) Attempt to reach 'Teacher↔parent messaging' directly by URL and by tampering the role in the request. 3) Observe.</t>
        </is>
      </c>
      <c r="H50" s="37" t="inlineStr">
        <is>
          <t>Access DENIED with a structured error (never a blank page, never data leakage); role tampering does not elevate; denial is server-side.</t>
        </is>
      </c>
      <c r="I50" s="37" t="inlineStr">
        <is>
          <t>Screenshot/response capture of the access decision</t>
        </is>
      </c>
      <c r="J50" s="43" t="inlineStr">
        <is>
          <t>NOT RUN</t>
        </is>
      </c>
      <c r="K50" s="37" t="inlineStr">
        <is>
          <t>Claude (pending env)</t>
        </is>
      </c>
      <c r="L50" s="37" t="n"/>
      <c r="M50" s="37" t="n"/>
      <c r="N50" s="37" t="inlineStr">
        <is>
          <t>[T4 | Phase 4 | Claude (pending env)] Playwright/authenticated-API against running env. awaiting running staging URL + test accounts</t>
        </is>
      </c>
    </row>
    <row r="51" ht="53.7" customHeight="1" s="29">
      <c r="A51" s="36" t="inlineStr">
        <is>
          <t>MX-RBAC-0049</t>
        </is>
      </c>
      <c r="B51" s="54" t="inlineStr">
        <is>
          <t>P1</t>
        </is>
      </c>
      <c r="C51" s="36" t="inlineStr">
        <is>
          <t>Backend+RBAC</t>
        </is>
      </c>
      <c r="D51" s="36" t="inlineStr">
        <is>
          <t>School admin onboarding &amp; seats</t>
        </is>
      </c>
      <c r="E51" s="36" t="inlineStr">
        <is>
          <t>Verifies the access decision when a 'Anonymous' account reaches the 'School admin onboarding &amp; seats' area. RBAC is enforced server-side; the historical dual-admin and silent-admin-failure incidents came from getting exactly these decisions wrong. Expected owner of this area is 'School Admin'.</t>
        </is>
      </c>
      <c r="F51" s="36" t="inlineStr">
        <is>
          <t>Anonymous test account available; intercepting proxy for tamper attempts.</t>
        </is>
      </c>
      <c r="G51" s="36" t="inlineStr">
        <is>
          <t>1) Log in as Anonymous (or stay anonymous). 2) Attempt to reach 'School admin onboarding &amp; seats' directly by URL and by tampering the role in the request. 3) Observe.</t>
        </is>
      </c>
      <c r="H51" s="36" t="inlineStr">
        <is>
          <t>Access DENIED with a structured error (never a blank page, never data leakage); role tampering does not elevate; denial is server-side.</t>
        </is>
      </c>
      <c r="I51" s="36" t="inlineStr">
        <is>
          <t>Screenshot/response capture of the access decision</t>
        </is>
      </c>
      <c r="J51" s="41" t="inlineStr">
        <is>
          <t>NOT RUN</t>
        </is>
      </c>
      <c r="K51" s="36" t="inlineStr">
        <is>
          <t>Claude (pending env)</t>
        </is>
      </c>
      <c r="L51" s="36" t="n"/>
      <c r="M51" s="36" t="n"/>
      <c r="N51" s="36" t="inlineStr">
        <is>
          <t>[T4 | Phase 4 | Claude (pending env)] Playwright/authenticated-API against running env. awaiting running staging URL + test accounts</t>
        </is>
      </c>
    </row>
    <row r="52" ht="53.7" customHeight="1" s="29">
      <c r="A52" s="37" t="inlineStr">
        <is>
          <t>MX-RBAC-0050</t>
        </is>
      </c>
      <c r="B52" s="54" t="inlineStr">
        <is>
          <t>P1</t>
        </is>
      </c>
      <c r="C52" s="37" t="inlineStr">
        <is>
          <t>Backend+RBAC</t>
        </is>
      </c>
      <c r="D52" s="37" t="inlineStr">
        <is>
          <t>School admin onboarding &amp; seats</t>
        </is>
      </c>
      <c r="E52" s="37" t="inlineStr">
        <is>
          <t>Verifies the access decision when a 'Student' account reaches the 'School admin onboarding &amp; seats' area. RBAC is enforced server-side; the historical dual-admin and silent-admin-failure incidents came from getting exactly these decisions wrong. Expected owner of this area is 'School Admin'.</t>
        </is>
      </c>
      <c r="F52" s="37" t="inlineStr">
        <is>
          <t>Student test account available; intercepting proxy for tamper attempts.</t>
        </is>
      </c>
      <c r="G52" s="37" t="inlineStr">
        <is>
          <t>1) Log in as Student (or stay anonymous). 2) Attempt to reach 'School admin onboarding &amp; seats' directly by URL and by tampering the role in the request. 3) Observe.</t>
        </is>
      </c>
      <c r="H52" s="37" t="inlineStr">
        <is>
          <t>Access DENIED with a structured error (never a blank page, never data leakage); role tampering does not elevate; denial is server-side.</t>
        </is>
      </c>
      <c r="I52" s="37" t="inlineStr">
        <is>
          <t>Screenshot/response capture of the access decision</t>
        </is>
      </c>
      <c r="J52" s="43" t="inlineStr">
        <is>
          <t>NOT RUN</t>
        </is>
      </c>
      <c r="K52" s="37" t="inlineStr">
        <is>
          <t>Claude (pending env)</t>
        </is>
      </c>
      <c r="L52" s="37" t="n"/>
      <c r="M52" s="37" t="n"/>
      <c r="N52" s="37" t="inlineStr">
        <is>
          <t>[T4 | Phase 4 | Claude (pending env)] Playwright/authenticated-API against running env. awaiting running staging URL + test accounts</t>
        </is>
      </c>
    </row>
    <row r="53" ht="53.7" customHeight="1" s="29">
      <c r="A53" s="36" t="inlineStr">
        <is>
          <t>MX-RBAC-0051</t>
        </is>
      </c>
      <c r="B53" s="54" t="inlineStr">
        <is>
          <t>P1</t>
        </is>
      </c>
      <c r="C53" s="36" t="inlineStr">
        <is>
          <t>Backend+RBAC</t>
        </is>
      </c>
      <c r="D53" s="36" t="inlineStr">
        <is>
          <t>School admin onboarding &amp; seats</t>
        </is>
      </c>
      <c r="E53" s="36" t="inlineStr">
        <is>
          <t>Verifies the access decision when a 'Parent' account reaches the 'School admin onboarding &amp; seats' area. RBAC is enforced server-side; the historical dual-admin and silent-admin-failure incidents came from getting exactly these decisions wrong. Expected owner of this area is 'School Admin'.</t>
        </is>
      </c>
      <c r="F53" s="36" t="inlineStr">
        <is>
          <t>Parent test account available; intercepting proxy for tamper attempts.</t>
        </is>
      </c>
      <c r="G53" s="36" t="inlineStr">
        <is>
          <t>1) Log in as Parent (or stay anonymous). 2) Attempt to reach 'School admin onboarding &amp; seats' directly by URL and by tampering the role in the request. 3) Observe.</t>
        </is>
      </c>
      <c r="H53" s="36" t="inlineStr">
        <is>
          <t>Access DENIED with a structured error (never a blank page, never data leakage); role tampering does not elevate; denial is server-side.</t>
        </is>
      </c>
      <c r="I53" s="36" t="inlineStr">
        <is>
          <t>Screenshot/response capture of the access decision</t>
        </is>
      </c>
      <c r="J53" s="41" t="inlineStr">
        <is>
          <t>NOT RUN</t>
        </is>
      </c>
      <c r="K53" s="36" t="inlineStr">
        <is>
          <t>Claude (pending env)</t>
        </is>
      </c>
      <c r="L53" s="36" t="n"/>
      <c r="M53" s="36" t="n"/>
      <c r="N53" s="36" t="inlineStr">
        <is>
          <t>[T4 | Phase 4 | Claude (pending env)] Playwright/authenticated-API against running env. awaiting running staging URL + test accounts</t>
        </is>
      </c>
    </row>
    <row r="54" ht="53.7" customHeight="1" s="29">
      <c r="A54" s="37" t="inlineStr">
        <is>
          <t>MX-RBAC-0052</t>
        </is>
      </c>
      <c r="B54" s="54" t="inlineStr">
        <is>
          <t>P1</t>
        </is>
      </c>
      <c r="C54" s="37" t="inlineStr">
        <is>
          <t>Backend+RBAC</t>
        </is>
      </c>
      <c r="D54" s="37" t="inlineStr">
        <is>
          <t>School admin onboarding &amp; seats</t>
        </is>
      </c>
      <c r="E54" s="37" t="inlineStr">
        <is>
          <t>Verifies the access decision when a 'Teacher' account reaches the 'School admin onboarding &amp; seats' area. RBAC is enforced server-side; the historical dual-admin and silent-admin-failure incidents came from getting exactly these decisions wrong. Expected owner of this area is 'School Admin'.</t>
        </is>
      </c>
      <c r="F54" s="37" t="inlineStr">
        <is>
          <t>Teacher test account available; intercepting proxy for tamper attempts.</t>
        </is>
      </c>
      <c r="G54" s="37" t="inlineStr">
        <is>
          <t>1) Log in as Teacher (or stay anonymous). 2) Attempt to reach 'School admin onboarding &amp; seats' directly by URL and by tampering the role in the request. 3) Observe.</t>
        </is>
      </c>
      <c r="H54" s="37" t="inlineStr">
        <is>
          <t>Access DENIED with a structured error (never a blank page, never data leakage); role tampering does not elevate; denial is server-side.</t>
        </is>
      </c>
      <c r="I54" s="37" t="inlineStr">
        <is>
          <t>Screenshot/response capture of the access decision</t>
        </is>
      </c>
      <c r="J54" s="43" t="inlineStr">
        <is>
          <t>NOT RUN</t>
        </is>
      </c>
      <c r="K54" s="37" t="inlineStr">
        <is>
          <t>Claude (pending env)</t>
        </is>
      </c>
      <c r="L54" s="37" t="n"/>
      <c r="M54" s="37" t="n"/>
      <c r="N54" s="37" t="inlineStr">
        <is>
          <t>[T4 | Phase 4 | Claude (pending env)] Playwright/authenticated-API against running env. awaiting running staging URL + test accounts</t>
        </is>
      </c>
    </row>
    <row r="55" ht="53.7" customHeight="1" s="29">
      <c r="A55" s="36" t="inlineStr">
        <is>
          <t>MX-RBAC-0053</t>
        </is>
      </c>
      <c r="B55" s="54" t="inlineStr">
        <is>
          <t>P1</t>
        </is>
      </c>
      <c r="C55" s="36" t="inlineStr">
        <is>
          <t>Backend+RBAC</t>
        </is>
      </c>
      <c r="D55" s="36" t="inlineStr">
        <is>
          <t>School admin onboarding &amp; seats</t>
        </is>
      </c>
      <c r="E55" s="36" t="inlineStr">
        <is>
          <t>Verifies the access decision when a 'School Admin' account reaches the 'School admin onboarding &amp; seats' area. RBAC is enforced server-side; the historical dual-admin and silent-admin-failure incidents came from getting exactly these decisions wrong. Expected owner of this area is 'School Admin'.</t>
        </is>
      </c>
      <c r="F55" s="36" t="inlineStr">
        <is>
          <t>School Admin test account available; intercepting proxy for tamper attempts.</t>
        </is>
      </c>
      <c r="G55" s="36" t="inlineStr">
        <is>
          <t>1) Log in as School Admin. 2) Open the 'School admin onboarding &amp; seats' area normally. 3) Confirm full, correct access and that the action audit-logs where applicable.</t>
        </is>
      </c>
      <c r="H55" s="36" t="inlineStr">
        <is>
          <t>School Admin has correct access to 'School admin onboarding &amp; seats'; server-side role check passes; audited where relevant.</t>
        </is>
      </c>
      <c r="I55" s="36" t="inlineStr">
        <is>
          <t>Screenshot/response capture of the access decision</t>
        </is>
      </c>
      <c r="J55" s="41" t="inlineStr">
        <is>
          <t>NOT RUN</t>
        </is>
      </c>
      <c r="K55" s="36" t="inlineStr">
        <is>
          <t>Claude (pending env)</t>
        </is>
      </c>
      <c r="L55" s="36" t="n"/>
      <c r="M55" s="36" t="n"/>
      <c r="N55" s="36" t="inlineStr">
        <is>
          <t>[T4 | Phase 4 | Claude (pending env)] Playwright/authenticated-API against running env. awaiting running staging URL + test accounts</t>
        </is>
      </c>
    </row>
    <row r="56" ht="53.7" customHeight="1" s="29">
      <c r="A56" s="37" t="inlineStr">
        <is>
          <t>MX-RBAC-0054</t>
        </is>
      </c>
      <c r="B56" s="54" t="inlineStr">
        <is>
          <t>P1</t>
        </is>
      </c>
      <c r="C56" s="37" t="inlineStr">
        <is>
          <t>Backend+RBAC</t>
        </is>
      </c>
      <c r="D56" s="37" t="inlineStr">
        <is>
          <t>School admin onboarding &amp; seats</t>
        </is>
      </c>
      <c r="E56" s="37" t="inlineStr">
        <is>
          <t>Verifies the access decision when a 'Super Admin' account reaches the 'School admin onboarding &amp; seats' area. RBAC is enforced server-side; the historical dual-admin and silent-admin-failure incidents came from getting exactly these decisions wrong. Expected owner of this area is 'School Admin'.</t>
        </is>
      </c>
      <c r="F56" s="37" t="inlineStr">
        <is>
          <t>Super Admin test account available; intercepting proxy for tamper attempts.</t>
        </is>
      </c>
      <c r="G56" s="37" t="inlineStr">
        <is>
          <t>1) Log in as Super Admin (or stay anonymous). 2) Attempt to reach 'School admin onboarding &amp; seats' directly by URL and by tampering the role in the request. 3) Observe.</t>
        </is>
      </c>
      <c r="H56" s="37" t="inlineStr">
        <is>
          <t>Access DENIED with a structured error (never a blank page, never data leakage); role tampering does not elevate; denial is server-side.</t>
        </is>
      </c>
      <c r="I56" s="37" t="inlineStr">
        <is>
          <t>Screenshot/response capture of the access decision</t>
        </is>
      </c>
      <c r="J56" s="43" t="inlineStr">
        <is>
          <t>NOT RUN</t>
        </is>
      </c>
      <c r="K56" s="37" t="inlineStr">
        <is>
          <t>Claude (pending env)</t>
        </is>
      </c>
      <c r="L56" s="37" t="n"/>
      <c r="M56" s="37" t="n"/>
      <c r="N56" s="37" t="inlineStr">
        <is>
          <t>[T4 | Phase 4 | Claude (pending env)] Playwright/authenticated-API against running env. awaiting running staging URL + test accounts</t>
        </is>
      </c>
    </row>
    <row r="57" ht="53.7" customHeight="1" s="29">
      <c r="A57" s="36" t="inlineStr">
        <is>
          <t>MX-RBAC-0055</t>
        </is>
      </c>
      <c r="B57" s="53" t="inlineStr">
        <is>
          <t>P0</t>
        </is>
      </c>
      <c r="C57" s="36" t="inlineStr">
        <is>
          <t>Backend+RBAC</t>
        </is>
      </c>
      <c r="D57" s="36" t="inlineStr">
        <is>
          <t>School billing &amp; invoices</t>
        </is>
      </c>
      <c r="E57" s="36" t="inlineStr">
        <is>
          <t>Verifies the access decision when a 'Anonymous' account reaches the 'School billing &amp; invoices' area. RBAC is enforced server-side; the historical dual-admin and silent-admin-failure incidents came from getting exactly these decisions wrong. Expected owner of this area is 'School Admin'.</t>
        </is>
      </c>
      <c r="F57" s="36" t="inlineStr">
        <is>
          <t>Anonymous test account available; intercepting proxy for tamper attempts.</t>
        </is>
      </c>
      <c r="G57" s="36" t="inlineStr">
        <is>
          <t>1) Log in as Anonymous (or stay anonymous). 2) Attempt to reach 'School billing &amp; invoices' directly by URL and by tampering the role in the request. 3) Observe.</t>
        </is>
      </c>
      <c r="H57" s="36" t="inlineStr">
        <is>
          <t>Access DENIED with a structured error (never a blank page, never data leakage); role tampering does not elevate; denial is server-side.</t>
        </is>
      </c>
      <c r="I57" s="36" t="inlineStr">
        <is>
          <t>Screenshot/response capture of the access decision</t>
        </is>
      </c>
      <c r="J57" s="41" t="inlineStr">
        <is>
          <t>NOT RUN</t>
        </is>
      </c>
      <c r="K57" s="36" t="inlineStr">
        <is>
          <t>Claude (pending env)</t>
        </is>
      </c>
      <c r="L57" s="36" t="n"/>
      <c r="M57" s="36" t="n"/>
      <c r="N57" s="36" t="inlineStr">
        <is>
          <t>[T4 | Phase 4 | Claude (pending env)] Playwright/authenticated-API against running env. awaiting running staging URL + test accounts</t>
        </is>
      </c>
    </row>
    <row r="58" ht="53.7" customHeight="1" s="29">
      <c r="A58" s="37" t="inlineStr">
        <is>
          <t>MX-RBAC-0056</t>
        </is>
      </c>
      <c r="B58" s="53" t="inlineStr">
        <is>
          <t>P0</t>
        </is>
      </c>
      <c r="C58" s="37" t="inlineStr">
        <is>
          <t>Backend+RBAC</t>
        </is>
      </c>
      <c r="D58" s="37" t="inlineStr">
        <is>
          <t>School billing &amp; invoices</t>
        </is>
      </c>
      <c r="E58" s="37" t="inlineStr">
        <is>
          <t>Verifies the access decision when a 'Student' account reaches the 'School billing &amp; invoices' area. RBAC is enforced server-side; the historical dual-admin and silent-admin-failure incidents came from getting exactly these decisions wrong. Expected owner of this area is 'School Admin'.</t>
        </is>
      </c>
      <c r="F58" s="37" t="inlineStr">
        <is>
          <t>Student test account available; intercepting proxy for tamper attempts.</t>
        </is>
      </c>
      <c r="G58" s="37" t="inlineStr">
        <is>
          <t>1) Log in as Student (or stay anonymous). 2) Attempt to reach 'School billing &amp; invoices' directly by URL and by tampering the role in the request. 3) Observe.</t>
        </is>
      </c>
      <c r="H58" s="37" t="inlineStr">
        <is>
          <t>Access DENIED with a structured error (never a blank page, never data leakage); role tampering does not elevate; denial is server-side.</t>
        </is>
      </c>
      <c r="I58" s="37" t="inlineStr">
        <is>
          <t>Screenshot/response capture of the access decision</t>
        </is>
      </c>
      <c r="J58" s="43" t="inlineStr">
        <is>
          <t>NOT RUN</t>
        </is>
      </c>
      <c r="K58" s="37" t="inlineStr">
        <is>
          <t>Claude (pending env)</t>
        </is>
      </c>
      <c r="L58" s="37" t="n"/>
      <c r="M58" s="37" t="n"/>
      <c r="N58" s="37" t="inlineStr">
        <is>
          <t>[T4 | Phase 4 | Claude (pending env)] Playwright/authenticated-API against running env. awaiting running staging URL + test accounts</t>
        </is>
      </c>
    </row>
    <row r="59" ht="53.7" customHeight="1" s="29">
      <c r="A59" s="36" t="inlineStr">
        <is>
          <t>MX-RBAC-0057</t>
        </is>
      </c>
      <c r="B59" s="53" t="inlineStr">
        <is>
          <t>P0</t>
        </is>
      </c>
      <c r="C59" s="36" t="inlineStr">
        <is>
          <t>Backend+RBAC</t>
        </is>
      </c>
      <c r="D59" s="36" t="inlineStr">
        <is>
          <t>School billing &amp; invoices</t>
        </is>
      </c>
      <c r="E59" s="36" t="inlineStr">
        <is>
          <t>Verifies the access decision when a 'Parent' account reaches the 'School billing &amp; invoices' area. RBAC is enforced server-side; the historical dual-admin and silent-admin-failure incidents came from getting exactly these decisions wrong. Expected owner of this area is 'School Admin'.</t>
        </is>
      </c>
      <c r="F59" s="36" t="inlineStr">
        <is>
          <t>Parent test account available; intercepting proxy for tamper attempts.</t>
        </is>
      </c>
      <c r="G59" s="36" t="inlineStr">
        <is>
          <t>1) Log in as Parent (or stay anonymous). 2) Attempt to reach 'School billing &amp; invoices' directly by URL and by tampering the role in the request. 3) Observe.</t>
        </is>
      </c>
      <c r="H59" s="36" t="inlineStr">
        <is>
          <t>Access DENIED with a structured error (never a blank page, never data leakage); role tampering does not elevate; denial is server-side.</t>
        </is>
      </c>
      <c r="I59" s="36" t="inlineStr">
        <is>
          <t>Screenshot/response capture of the access decision</t>
        </is>
      </c>
      <c r="J59" s="41" t="inlineStr">
        <is>
          <t>NOT RUN</t>
        </is>
      </c>
      <c r="K59" s="36" t="inlineStr">
        <is>
          <t>Claude (pending env)</t>
        </is>
      </c>
      <c r="L59" s="36" t="n"/>
      <c r="M59" s="36" t="n"/>
      <c r="N59" s="36" t="inlineStr">
        <is>
          <t>[T4 | Phase 4 | Claude (pending env)] Playwright/authenticated-API against running env. awaiting running staging URL + test accounts</t>
        </is>
      </c>
    </row>
    <row r="60" ht="53.7" customHeight="1" s="29">
      <c r="A60" s="37" t="inlineStr">
        <is>
          <t>MX-RBAC-0058</t>
        </is>
      </c>
      <c r="B60" s="53" t="inlineStr">
        <is>
          <t>P0</t>
        </is>
      </c>
      <c r="C60" s="37" t="inlineStr">
        <is>
          <t>Backend+RBAC</t>
        </is>
      </c>
      <c r="D60" s="37" t="inlineStr">
        <is>
          <t>School billing &amp; invoices</t>
        </is>
      </c>
      <c r="E60" s="37" t="inlineStr">
        <is>
          <t>Verifies the access decision when a 'Teacher' account reaches the 'School billing &amp; invoices' area. RBAC is enforced server-side; the historical dual-admin and silent-admin-failure incidents came from getting exactly these decisions wrong. Expected owner of this area is 'School Admin'.</t>
        </is>
      </c>
      <c r="F60" s="37" t="inlineStr">
        <is>
          <t>Teacher test account available; intercepting proxy for tamper attempts.</t>
        </is>
      </c>
      <c r="G60" s="37" t="inlineStr">
        <is>
          <t>1) Log in as Teacher (or stay anonymous). 2) Attempt to reach 'School billing &amp; invoices' directly by URL and by tampering the role in the request. 3) Observe.</t>
        </is>
      </c>
      <c r="H60" s="37" t="inlineStr">
        <is>
          <t>Access DENIED with a structured error (never a blank page, never data leakage); role tampering does not elevate; denial is server-side.</t>
        </is>
      </c>
      <c r="I60" s="37" t="inlineStr">
        <is>
          <t>Screenshot/response capture of the access decision</t>
        </is>
      </c>
      <c r="J60" s="43" t="inlineStr">
        <is>
          <t>NOT RUN</t>
        </is>
      </c>
      <c r="K60" s="37" t="inlineStr">
        <is>
          <t>Claude (pending env)</t>
        </is>
      </c>
      <c r="L60" s="37" t="n"/>
      <c r="M60" s="37" t="n"/>
      <c r="N60" s="37" t="inlineStr">
        <is>
          <t>[T4 | Phase 4 | Claude (pending env)] Playwright/authenticated-API against running env. awaiting running staging URL + test accounts</t>
        </is>
      </c>
    </row>
    <row r="61" ht="53.7" customHeight="1" s="29">
      <c r="A61" s="36" t="inlineStr">
        <is>
          <t>MX-RBAC-0059</t>
        </is>
      </c>
      <c r="B61" s="53" t="inlineStr">
        <is>
          <t>P0</t>
        </is>
      </c>
      <c r="C61" s="36" t="inlineStr">
        <is>
          <t>Backend+RBAC</t>
        </is>
      </c>
      <c r="D61" s="36" t="inlineStr">
        <is>
          <t>School billing &amp; invoices</t>
        </is>
      </c>
      <c r="E61" s="36" t="inlineStr">
        <is>
          <t>Verifies the access decision when a 'School Admin' account reaches the 'School billing &amp; invoices' area. RBAC is enforced server-side; the historical dual-admin and silent-admin-failure incidents came from getting exactly these decisions wrong. Expected owner of this area is 'School Admin'.</t>
        </is>
      </c>
      <c r="F61" s="36" t="inlineStr">
        <is>
          <t>School Admin test account available; intercepting proxy for tamper attempts.</t>
        </is>
      </c>
      <c r="G61" s="36" t="inlineStr">
        <is>
          <t>1) Log in as School Admin. 2) Open the 'School billing &amp; invoices' area normally. 3) Confirm full, correct access and that the action audit-logs where applicable.</t>
        </is>
      </c>
      <c r="H61" s="36" t="inlineStr">
        <is>
          <t>School Admin has correct access to 'School billing &amp; invoices'; server-side role check passes; audited where relevant.</t>
        </is>
      </c>
      <c r="I61" s="36" t="inlineStr">
        <is>
          <t>Screenshot/response capture of the access decision</t>
        </is>
      </c>
      <c r="J61" s="41" t="inlineStr">
        <is>
          <t>NOT RUN</t>
        </is>
      </c>
      <c r="K61" s="36" t="inlineStr">
        <is>
          <t>Claude (pending env)</t>
        </is>
      </c>
      <c r="L61" s="36" t="n"/>
      <c r="M61" s="36" t="n"/>
      <c r="N61" s="36" t="inlineStr">
        <is>
          <t>[T4 | Phase 4 | Claude (pending env)] Playwright/authenticated-API against running env. awaiting running staging URL + test accounts</t>
        </is>
      </c>
    </row>
    <row r="62" ht="53.7" customHeight="1" s="29">
      <c r="A62" s="37" t="inlineStr">
        <is>
          <t>MX-RBAC-0060</t>
        </is>
      </c>
      <c r="B62" s="53" t="inlineStr">
        <is>
          <t>P0</t>
        </is>
      </c>
      <c r="C62" s="37" t="inlineStr">
        <is>
          <t>Backend+RBAC</t>
        </is>
      </c>
      <c r="D62" s="37" t="inlineStr">
        <is>
          <t>School billing &amp; invoices</t>
        </is>
      </c>
      <c r="E62" s="37" t="inlineStr">
        <is>
          <t>Verifies the access decision when a 'Super Admin' account reaches the 'School billing &amp; invoices' area. RBAC is enforced server-side; the historical dual-admin and silent-admin-failure incidents came from getting exactly these decisions wrong. Expected owner of this area is 'School Admin'.</t>
        </is>
      </c>
      <c r="F62" s="37" t="inlineStr">
        <is>
          <t>Super Admin test account available; intercepting proxy for tamper attempts.</t>
        </is>
      </c>
      <c r="G62" s="37" t="inlineStr">
        <is>
          <t>1) Log in as Super Admin (or stay anonymous). 2) Attempt to reach 'School billing &amp; invoices' directly by URL and by tampering the role in the request. 3) Observe.</t>
        </is>
      </c>
      <c r="H62" s="37" t="inlineStr">
        <is>
          <t>Access DENIED with a structured error (never a blank page, never data leakage); role tampering does not elevate; denial is server-side.</t>
        </is>
      </c>
      <c r="I62" s="37" t="inlineStr">
        <is>
          <t>Screenshot/response capture of the access decision</t>
        </is>
      </c>
      <c r="J62" s="43" t="inlineStr">
        <is>
          <t>NOT RUN</t>
        </is>
      </c>
      <c r="K62" s="37" t="inlineStr">
        <is>
          <t>Claude (pending env)</t>
        </is>
      </c>
      <c r="L62" s="37" t="n"/>
      <c r="M62" s="37" t="n"/>
      <c r="N62" s="37" t="inlineStr">
        <is>
          <t>[T4 | Phase 4 | Claude (pending env)] Playwright/authenticated-API against running env. awaiting running staging URL + test accounts</t>
        </is>
      </c>
    </row>
    <row r="63" ht="53.7" customHeight="1" s="29">
      <c r="A63" s="36" t="inlineStr">
        <is>
          <t>MX-RBAC-0061</t>
        </is>
      </c>
      <c r="B63" s="54" t="inlineStr">
        <is>
          <t>P1</t>
        </is>
      </c>
      <c r="C63" s="36" t="inlineStr">
        <is>
          <t>Backend+RBAC</t>
        </is>
      </c>
      <c r="D63" s="36" t="inlineStr">
        <is>
          <t>School announcements &amp; exams</t>
        </is>
      </c>
      <c r="E63" s="36" t="inlineStr">
        <is>
          <t>Verifies the access decision when a 'Anonymous' account reaches the 'School announcements &amp; exams' area. RBAC is enforced server-side; the historical dual-admin and silent-admin-failure incidents came from getting exactly these decisions wrong. Expected owner of this area is 'School Admin'.</t>
        </is>
      </c>
      <c r="F63" s="36" t="inlineStr">
        <is>
          <t>Anonymous test account available; intercepting proxy for tamper attempts.</t>
        </is>
      </c>
      <c r="G63" s="36" t="inlineStr">
        <is>
          <t>1) Log in as Anonymous (or stay anonymous). 2) Attempt to reach 'School announcements &amp; exams' directly by URL and by tampering the role in the request. 3) Observe.</t>
        </is>
      </c>
      <c r="H63" s="36" t="inlineStr">
        <is>
          <t>Access DENIED with a structured error (never a blank page, never data leakage); role tampering does not elevate; denial is server-side.</t>
        </is>
      </c>
      <c r="I63" s="36" t="inlineStr">
        <is>
          <t>Screenshot/response capture of the access decision</t>
        </is>
      </c>
      <c r="J63" s="41" t="inlineStr">
        <is>
          <t>NOT RUN</t>
        </is>
      </c>
      <c r="K63" s="36" t="inlineStr">
        <is>
          <t>Claude (pending env)</t>
        </is>
      </c>
      <c r="L63" s="36" t="n"/>
      <c r="M63" s="36" t="n"/>
      <c r="N63" s="36" t="inlineStr">
        <is>
          <t>[T4 | Phase 4 | Claude (pending env)] Playwright/authenticated-API against running env. awaiting running staging URL + test accounts</t>
        </is>
      </c>
    </row>
    <row r="64" ht="53.7" customHeight="1" s="29">
      <c r="A64" s="37" t="inlineStr">
        <is>
          <t>MX-RBAC-0062</t>
        </is>
      </c>
      <c r="B64" s="54" t="inlineStr">
        <is>
          <t>P1</t>
        </is>
      </c>
      <c r="C64" s="37" t="inlineStr">
        <is>
          <t>Backend+RBAC</t>
        </is>
      </c>
      <c r="D64" s="37" t="inlineStr">
        <is>
          <t>School announcements &amp; exams</t>
        </is>
      </c>
      <c r="E64" s="37" t="inlineStr">
        <is>
          <t>Verifies the access decision when a 'Student' account reaches the 'School announcements &amp; exams' area. RBAC is enforced server-side; the historical dual-admin and silent-admin-failure incidents came from getting exactly these decisions wrong. Expected owner of this area is 'School Admin'.</t>
        </is>
      </c>
      <c r="F64" s="37" t="inlineStr">
        <is>
          <t>Student test account available; intercepting proxy for tamper attempts.</t>
        </is>
      </c>
      <c r="G64" s="37" t="inlineStr">
        <is>
          <t>1) Log in as Student (or stay anonymous). 2) Attempt to reach 'School announcements &amp; exams' directly by URL and by tampering the role in the request. 3) Observe.</t>
        </is>
      </c>
      <c r="H64" s="37" t="inlineStr">
        <is>
          <t>Access DENIED with a structured error (never a blank page, never data leakage); role tampering does not elevate; denial is server-side.</t>
        </is>
      </c>
      <c r="I64" s="37" t="inlineStr">
        <is>
          <t>Screenshot/response capture of the access decision</t>
        </is>
      </c>
      <c r="J64" s="43" t="inlineStr">
        <is>
          <t>NOT RUN</t>
        </is>
      </c>
      <c r="K64" s="37" t="inlineStr">
        <is>
          <t>Claude (pending env)</t>
        </is>
      </c>
      <c r="L64" s="37" t="n"/>
      <c r="M64" s="37" t="n"/>
      <c r="N64" s="37" t="inlineStr">
        <is>
          <t>[T4 | Phase 4 | Claude (pending env)] Playwright/authenticated-API against running env. awaiting running staging URL + test accounts</t>
        </is>
      </c>
    </row>
    <row r="65" ht="53.7" customHeight="1" s="29">
      <c r="A65" s="36" t="inlineStr">
        <is>
          <t>MX-RBAC-0063</t>
        </is>
      </c>
      <c r="B65" s="54" t="inlineStr">
        <is>
          <t>P1</t>
        </is>
      </c>
      <c r="C65" s="36" t="inlineStr">
        <is>
          <t>Backend+RBAC</t>
        </is>
      </c>
      <c r="D65" s="36" t="inlineStr">
        <is>
          <t>School announcements &amp; exams</t>
        </is>
      </c>
      <c r="E65" s="36" t="inlineStr">
        <is>
          <t>Verifies the access decision when a 'Parent' account reaches the 'School announcements &amp; exams' area. RBAC is enforced server-side; the historical dual-admin and silent-admin-failure incidents came from getting exactly these decisions wrong. Expected owner of this area is 'School Admin'.</t>
        </is>
      </c>
      <c r="F65" s="36" t="inlineStr">
        <is>
          <t>Parent test account available; intercepting proxy for tamper attempts.</t>
        </is>
      </c>
      <c r="G65" s="36" t="inlineStr">
        <is>
          <t>1) Log in as Parent (or stay anonymous). 2) Attempt to reach 'School announcements &amp; exams' directly by URL and by tampering the role in the request. 3) Observe.</t>
        </is>
      </c>
      <c r="H65" s="36" t="inlineStr">
        <is>
          <t>Access DENIED with a structured error (never a blank page, never data leakage); role tampering does not elevate; denial is server-side.</t>
        </is>
      </c>
      <c r="I65" s="36" t="inlineStr">
        <is>
          <t>Screenshot/response capture of the access decision</t>
        </is>
      </c>
      <c r="J65" s="41" t="inlineStr">
        <is>
          <t>NOT RUN</t>
        </is>
      </c>
      <c r="K65" s="36" t="inlineStr">
        <is>
          <t>Claude (pending env)</t>
        </is>
      </c>
      <c r="L65" s="36" t="n"/>
      <c r="M65" s="36" t="n"/>
      <c r="N65" s="36" t="inlineStr">
        <is>
          <t>[T4 | Phase 4 | Claude (pending env)] Playwright/authenticated-API against running env. awaiting running staging URL + test accounts</t>
        </is>
      </c>
    </row>
    <row r="66" ht="53.7" customHeight="1" s="29">
      <c r="A66" s="37" t="inlineStr">
        <is>
          <t>MX-RBAC-0064</t>
        </is>
      </c>
      <c r="B66" s="54" t="inlineStr">
        <is>
          <t>P1</t>
        </is>
      </c>
      <c r="C66" s="37" t="inlineStr">
        <is>
          <t>Backend+RBAC</t>
        </is>
      </c>
      <c r="D66" s="37" t="inlineStr">
        <is>
          <t>School announcements &amp; exams</t>
        </is>
      </c>
      <c r="E66" s="37" t="inlineStr">
        <is>
          <t>Verifies the access decision when a 'Teacher' account reaches the 'School announcements &amp; exams' area. RBAC is enforced server-side; the historical dual-admin and silent-admin-failure incidents came from getting exactly these decisions wrong. Expected owner of this area is 'School Admin'.</t>
        </is>
      </c>
      <c r="F66" s="37" t="inlineStr">
        <is>
          <t>Teacher test account available; intercepting proxy for tamper attempts.</t>
        </is>
      </c>
      <c r="G66" s="37" t="inlineStr">
        <is>
          <t>1) Log in as Teacher (or stay anonymous). 2) Attempt to reach 'School announcements &amp; exams' directly by URL and by tampering the role in the request. 3) Observe.</t>
        </is>
      </c>
      <c r="H66" s="37" t="inlineStr">
        <is>
          <t>Access DENIED with a structured error (never a blank page, never data leakage); role tampering does not elevate; denial is server-side.</t>
        </is>
      </c>
      <c r="I66" s="37" t="inlineStr">
        <is>
          <t>Screenshot/response capture of the access decision</t>
        </is>
      </c>
      <c r="J66" s="43" t="inlineStr">
        <is>
          <t>NOT RUN</t>
        </is>
      </c>
      <c r="K66" s="37" t="inlineStr">
        <is>
          <t>Claude (pending env)</t>
        </is>
      </c>
      <c r="L66" s="37" t="n"/>
      <c r="M66" s="37" t="n"/>
      <c r="N66" s="37" t="inlineStr">
        <is>
          <t>[T4 | Phase 4 | Claude (pending env)] Playwright/authenticated-API against running env. awaiting running staging URL + test accounts</t>
        </is>
      </c>
    </row>
    <row r="67" ht="53.7" customHeight="1" s="29">
      <c r="A67" s="36" t="inlineStr">
        <is>
          <t>MX-RBAC-0065</t>
        </is>
      </c>
      <c r="B67" s="54" t="inlineStr">
        <is>
          <t>P1</t>
        </is>
      </c>
      <c r="C67" s="36" t="inlineStr">
        <is>
          <t>Backend+RBAC</t>
        </is>
      </c>
      <c r="D67" s="36" t="inlineStr">
        <is>
          <t>School announcements &amp; exams</t>
        </is>
      </c>
      <c r="E67" s="36" t="inlineStr">
        <is>
          <t>Verifies the access decision when a 'School Admin' account reaches the 'School announcements &amp; exams' area. RBAC is enforced server-side; the historical dual-admin and silent-admin-failure incidents came from getting exactly these decisions wrong. Expected owner of this area is 'School Admin'.</t>
        </is>
      </c>
      <c r="F67" s="36" t="inlineStr">
        <is>
          <t>School Admin test account available; intercepting proxy for tamper attempts.</t>
        </is>
      </c>
      <c r="G67" s="36" t="inlineStr">
        <is>
          <t>1) Log in as School Admin. 2) Open the 'School announcements &amp; exams' area normally. 3) Confirm full, correct access and that the action audit-logs where applicable.</t>
        </is>
      </c>
      <c r="H67" s="36" t="inlineStr">
        <is>
          <t>School Admin has correct access to 'School announcements &amp; exams'; server-side role check passes; audited where relevant.</t>
        </is>
      </c>
      <c r="I67" s="36" t="inlineStr">
        <is>
          <t>Screenshot/response capture of the access decision</t>
        </is>
      </c>
      <c r="J67" s="41" t="inlineStr">
        <is>
          <t>NOT RUN</t>
        </is>
      </c>
      <c r="K67" s="36" t="inlineStr">
        <is>
          <t>Claude (pending env)</t>
        </is>
      </c>
      <c r="L67" s="36" t="n"/>
      <c r="M67" s="36" t="n"/>
      <c r="N67" s="36" t="inlineStr">
        <is>
          <t>[T4 | Phase 4 | Claude (pending env)] Playwright/authenticated-API against running env. awaiting running staging URL + test accounts</t>
        </is>
      </c>
    </row>
    <row r="68" ht="53.7" customHeight="1" s="29">
      <c r="A68" s="37" t="inlineStr">
        <is>
          <t>MX-RBAC-0066</t>
        </is>
      </c>
      <c r="B68" s="54" t="inlineStr">
        <is>
          <t>P1</t>
        </is>
      </c>
      <c r="C68" s="37" t="inlineStr">
        <is>
          <t>Backend+RBAC</t>
        </is>
      </c>
      <c r="D68" s="37" t="inlineStr">
        <is>
          <t>School announcements &amp; exams</t>
        </is>
      </c>
      <c r="E68" s="37" t="inlineStr">
        <is>
          <t>Verifies the access decision when a 'Super Admin' account reaches the 'School announcements &amp; exams' area. RBAC is enforced server-side; the historical dual-admin and silent-admin-failure incidents came from getting exactly these decisions wrong. Expected owner of this area is 'School Admin'.</t>
        </is>
      </c>
      <c r="F68" s="37" t="inlineStr">
        <is>
          <t>Super Admin test account available; intercepting proxy for tamper attempts.</t>
        </is>
      </c>
      <c r="G68" s="37" t="inlineStr">
        <is>
          <t>1) Log in as Super Admin (or stay anonymous). 2) Attempt to reach 'School announcements &amp; exams' directly by URL and by tampering the role in the request. 3) Observe.</t>
        </is>
      </c>
      <c r="H68" s="37" t="inlineStr">
        <is>
          <t>Access DENIED with a structured error (never a blank page, never data leakage); role tampering does not elevate; denial is server-side.</t>
        </is>
      </c>
      <c r="I68" s="37" t="inlineStr">
        <is>
          <t>Screenshot/response capture of the access decision</t>
        </is>
      </c>
      <c r="J68" s="43" t="inlineStr">
        <is>
          <t>NOT RUN</t>
        </is>
      </c>
      <c r="K68" s="37" t="inlineStr">
        <is>
          <t>Claude (pending env)</t>
        </is>
      </c>
      <c r="L68" s="37" t="n"/>
      <c r="M68" s="37" t="n"/>
      <c r="N68" s="37" t="inlineStr">
        <is>
          <t>[T4 | Phase 4 | Claude (pending env)] Playwright/authenticated-API against running env. awaiting running staging URL + test accounts</t>
        </is>
      </c>
    </row>
    <row r="69" ht="53.7" customHeight="1" s="29">
      <c r="A69" s="36" t="inlineStr">
        <is>
          <t>MX-RBAC-0067</t>
        </is>
      </c>
      <c r="B69" s="53" t="inlineStr">
        <is>
          <t>P0</t>
        </is>
      </c>
      <c r="C69" s="36" t="inlineStr">
        <is>
          <t>Backend+RBAC</t>
        </is>
      </c>
      <c r="D69" s="36" t="inlineStr">
        <is>
          <t>Super-admin observability</t>
        </is>
      </c>
      <c r="E69" s="36" t="inlineStr">
        <is>
          <t>Verifies the access decision when a 'Anonymous' account reaches the 'Super-admin observability' area. RBAC is enforced server-side; the historical dual-admin and silent-admin-failure incidents came from getting exactly these decisions wrong. Expected owner of this area is 'Super Admin'.</t>
        </is>
      </c>
      <c r="F69" s="36" t="inlineStr">
        <is>
          <t>Anonymous test account available; intercepting proxy for tamper attempts.</t>
        </is>
      </c>
      <c r="G69" s="36" t="inlineStr">
        <is>
          <t>1) Log in as Anonymous (or stay anonymous). 2) Attempt to reach 'Super-admin observability' directly by URL and by tampering the role in the request. 3) Observe.</t>
        </is>
      </c>
      <c r="H69" s="36" t="inlineStr">
        <is>
          <t>Access DENIED with a structured error (never a blank page, never data leakage); role tampering does not elevate; denial is server-side.</t>
        </is>
      </c>
      <c r="I69" s="36" t="inlineStr">
        <is>
          <t>Screenshot/response capture of the access decision</t>
        </is>
      </c>
      <c r="J69" s="41" t="inlineStr">
        <is>
          <t>NOT RUN</t>
        </is>
      </c>
      <c r="K69" s="36" t="inlineStr">
        <is>
          <t>Claude (pending env)</t>
        </is>
      </c>
      <c r="L69" s="36" t="n"/>
      <c r="M69" s="36" t="n"/>
      <c r="N69" s="36" t="inlineStr">
        <is>
          <t>[T4 | Phase 4 | Claude (pending env)] Playwright/authenticated-API against running env. awaiting running staging URL + test accounts</t>
        </is>
      </c>
    </row>
    <row r="70" ht="53.7" customHeight="1" s="29">
      <c r="A70" s="37" t="inlineStr">
        <is>
          <t>MX-RBAC-0068</t>
        </is>
      </c>
      <c r="B70" s="53" t="inlineStr">
        <is>
          <t>P0</t>
        </is>
      </c>
      <c r="C70" s="37" t="inlineStr">
        <is>
          <t>Backend+RBAC</t>
        </is>
      </c>
      <c r="D70" s="37" t="inlineStr">
        <is>
          <t>Super-admin observability</t>
        </is>
      </c>
      <c r="E70" s="37" t="inlineStr">
        <is>
          <t>Verifies the access decision when a 'Student' account reaches the 'Super-admin observability' area. RBAC is enforced server-side; the historical dual-admin and silent-admin-failure incidents came from getting exactly these decisions wrong. Expected owner of this area is 'Super Admin'.</t>
        </is>
      </c>
      <c r="F70" s="37" t="inlineStr">
        <is>
          <t>Student test account available; intercepting proxy for tamper attempts.</t>
        </is>
      </c>
      <c r="G70" s="37" t="inlineStr">
        <is>
          <t>1) Log in as Student (or stay anonymous). 2) Attempt to reach 'Super-admin observability' directly by URL and by tampering the role in the request. 3) Observe.</t>
        </is>
      </c>
      <c r="H70" s="37" t="inlineStr">
        <is>
          <t>Access DENIED with a structured error (never a blank page, never data leakage); role tampering does not elevate; denial is server-side.</t>
        </is>
      </c>
      <c r="I70" s="37" t="inlineStr">
        <is>
          <t>Screenshot/response capture of the access decision</t>
        </is>
      </c>
      <c r="J70" s="43" t="inlineStr">
        <is>
          <t>NOT RUN</t>
        </is>
      </c>
      <c r="K70" s="37" t="inlineStr">
        <is>
          <t>Claude (pending env)</t>
        </is>
      </c>
      <c r="L70" s="37" t="n"/>
      <c r="M70" s="37" t="n"/>
      <c r="N70" s="37" t="inlineStr">
        <is>
          <t>[T4 | Phase 4 | Claude (pending env)] Playwright/authenticated-API against running env. awaiting running staging URL + test accounts</t>
        </is>
      </c>
    </row>
    <row r="71" ht="53.7" customHeight="1" s="29">
      <c r="A71" s="36" t="inlineStr">
        <is>
          <t>MX-RBAC-0069</t>
        </is>
      </c>
      <c r="B71" s="53" t="inlineStr">
        <is>
          <t>P0</t>
        </is>
      </c>
      <c r="C71" s="36" t="inlineStr">
        <is>
          <t>Backend+RBAC</t>
        </is>
      </c>
      <c r="D71" s="36" t="inlineStr">
        <is>
          <t>Super-admin observability</t>
        </is>
      </c>
      <c r="E71" s="36" t="inlineStr">
        <is>
          <t>Verifies the access decision when a 'Parent' account reaches the 'Super-admin observability' area. RBAC is enforced server-side; the historical dual-admin and silent-admin-failure incidents came from getting exactly these decisions wrong. Expected owner of this area is 'Super Admin'.</t>
        </is>
      </c>
      <c r="F71" s="36" t="inlineStr">
        <is>
          <t>Parent test account available; intercepting proxy for tamper attempts.</t>
        </is>
      </c>
      <c r="G71" s="36" t="inlineStr">
        <is>
          <t>1) Log in as Parent (or stay anonymous). 2) Attempt to reach 'Super-admin observability' directly by URL and by tampering the role in the request. 3) Observe.</t>
        </is>
      </c>
      <c r="H71" s="36" t="inlineStr">
        <is>
          <t>Access DENIED with a structured error (never a blank page, never data leakage); role tampering does not elevate; denial is server-side.</t>
        </is>
      </c>
      <c r="I71" s="36" t="inlineStr">
        <is>
          <t>Screenshot/response capture of the access decision</t>
        </is>
      </c>
      <c r="J71" s="41" t="inlineStr">
        <is>
          <t>NOT RUN</t>
        </is>
      </c>
      <c r="K71" s="36" t="inlineStr">
        <is>
          <t>Claude (pending env)</t>
        </is>
      </c>
      <c r="L71" s="36" t="n"/>
      <c r="M71" s="36" t="n"/>
      <c r="N71" s="36" t="inlineStr">
        <is>
          <t>[T4 | Phase 4 | Claude (pending env)] Playwright/authenticated-API against running env. awaiting running staging URL + test accounts</t>
        </is>
      </c>
    </row>
    <row r="72" ht="53.7" customHeight="1" s="29">
      <c r="A72" s="37" t="inlineStr">
        <is>
          <t>MX-RBAC-0070</t>
        </is>
      </c>
      <c r="B72" s="53" t="inlineStr">
        <is>
          <t>P0</t>
        </is>
      </c>
      <c r="C72" s="37" t="inlineStr">
        <is>
          <t>Backend+RBAC</t>
        </is>
      </c>
      <c r="D72" s="37" t="inlineStr">
        <is>
          <t>Super-admin observability</t>
        </is>
      </c>
      <c r="E72" s="37" t="inlineStr">
        <is>
          <t>Verifies the access decision when a 'Teacher' account reaches the 'Super-admin observability' area. RBAC is enforced server-side; the historical dual-admin and silent-admin-failure incidents came from getting exactly these decisions wrong. Expected owner of this area is 'Super Admin'.</t>
        </is>
      </c>
      <c r="F72" s="37" t="inlineStr">
        <is>
          <t>Teacher test account available; intercepting proxy for tamper attempts.</t>
        </is>
      </c>
      <c r="G72" s="37" t="inlineStr">
        <is>
          <t>1) Log in as Teacher (or stay anonymous). 2) Attempt to reach 'Super-admin observability' directly by URL and by tampering the role in the request. 3) Observe.</t>
        </is>
      </c>
      <c r="H72" s="37" t="inlineStr">
        <is>
          <t>Access DENIED with a structured error (never a blank page, never data leakage); role tampering does not elevate; denial is server-side.</t>
        </is>
      </c>
      <c r="I72" s="37" t="inlineStr">
        <is>
          <t>Screenshot/response capture of the access decision</t>
        </is>
      </c>
      <c r="J72" s="43" t="inlineStr">
        <is>
          <t>NOT RUN</t>
        </is>
      </c>
      <c r="K72" s="37" t="inlineStr">
        <is>
          <t>Claude (pending env)</t>
        </is>
      </c>
      <c r="L72" s="37" t="n"/>
      <c r="M72" s="37" t="n"/>
      <c r="N72" s="37" t="inlineStr">
        <is>
          <t>[T4 | Phase 4 | Claude (pending env)] Playwright/authenticated-API against running env. awaiting running staging URL + test accounts</t>
        </is>
      </c>
    </row>
    <row r="73" ht="53.7" customHeight="1" s="29">
      <c r="A73" s="36" t="inlineStr">
        <is>
          <t>MX-RBAC-0071</t>
        </is>
      </c>
      <c r="B73" s="53" t="inlineStr">
        <is>
          <t>P0</t>
        </is>
      </c>
      <c r="C73" s="36" t="inlineStr">
        <is>
          <t>Backend+RBAC</t>
        </is>
      </c>
      <c r="D73" s="36" t="inlineStr">
        <is>
          <t>Super-admin observability</t>
        </is>
      </c>
      <c r="E73" s="36" t="inlineStr">
        <is>
          <t>Verifies the access decision when a 'School Admin' account reaches the 'Super-admin observability' area. RBAC is enforced server-side; the historical dual-admin and silent-admin-failure incidents came from getting exactly these decisions wrong. Expected owner of this area is 'Super Admin'.</t>
        </is>
      </c>
      <c r="F73" s="36" t="inlineStr">
        <is>
          <t>School Admin test account available; intercepting proxy for tamper attempts.</t>
        </is>
      </c>
      <c r="G73" s="36" t="inlineStr">
        <is>
          <t>1) Log in as School Admin (or stay anonymous). 2) Attempt to reach 'Super-admin observability' directly by URL and by tampering the role in the request. 3) Observe.</t>
        </is>
      </c>
      <c r="H73" s="36" t="inlineStr">
        <is>
          <t>Access DENIED with a structured error (never a blank page, never data leakage); role tampering does not elevate; denial is server-side.</t>
        </is>
      </c>
      <c r="I73" s="36" t="inlineStr">
        <is>
          <t>Screenshot/response capture of the access decision</t>
        </is>
      </c>
      <c r="J73" s="41" t="inlineStr">
        <is>
          <t>NOT RUN</t>
        </is>
      </c>
      <c r="K73" s="36" t="inlineStr">
        <is>
          <t>Claude (pending env)</t>
        </is>
      </c>
      <c r="L73" s="36" t="n"/>
      <c r="M73" s="36" t="n"/>
      <c r="N73" s="36" t="inlineStr">
        <is>
          <t>[T4 | Phase 4 | Claude (pending env)] Playwright/authenticated-API against running env. awaiting running staging URL + test accounts</t>
        </is>
      </c>
    </row>
    <row r="74" ht="53.7" customHeight="1" s="29">
      <c r="A74" s="37" t="inlineStr">
        <is>
          <t>MX-RBAC-0072</t>
        </is>
      </c>
      <c r="B74" s="53" t="inlineStr">
        <is>
          <t>P0</t>
        </is>
      </c>
      <c r="C74" s="37" t="inlineStr">
        <is>
          <t>Backend+RBAC</t>
        </is>
      </c>
      <c r="D74" s="37" t="inlineStr">
        <is>
          <t>Super-admin observability</t>
        </is>
      </c>
      <c r="E74" s="37" t="inlineStr">
        <is>
          <t>Verifies the access decision when a 'Super Admin' account reaches the 'Super-admin observability' area. RBAC is enforced server-side; the historical dual-admin and silent-admin-failure incidents came from getting exactly these decisions wrong. Expected owner of this area is 'Super Admin'.</t>
        </is>
      </c>
      <c r="F74" s="37" t="inlineStr">
        <is>
          <t>Super Admin test account available; intercepting proxy for tamper attempts.</t>
        </is>
      </c>
      <c r="G74" s="37" t="inlineStr">
        <is>
          <t>1) Log in as Super Admin. 2) Open the 'Super-admin observability' area normally. 3) Confirm full, correct access and that the action audit-logs where applicable.</t>
        </is>
      </c>
      <c r="H74" s="37" t="inlineStr">
        <is>
          <t>Super Admin has correct access to 'Super-admin observability'; server-side role check passes; audited where relevant.</t>
        </is>
      </c>
      <c r="I74" s="37" t="inlineStr">
        <is>
          <t>Screenshot/response capture of the access decision</t>
        </is>
      </c>
      <c r="J74" s="43" t="inlineStr">
        <is>
          <t>NOT RUN</t>
        </is>
      </c>
      <c r="K74" s="37" t="inlineStr">
        <is>
          <t>Claude (pending env)</t>
        </is>
      </c>
      <c r="L74" s="37" t="n"/>
      <c r="M74" s="37" t="n"/>
      <c r="N74" s="37" t="inlineStr">
        <is>
          <t>[T4 | Phase 4 | Claude (pending env)] Playwright/authenticated-API against running env. awaiting running staging URL + test accounts</t>
        </is>
      </c>
    </row>
    <row r="75" ht="53.7" customHeight="1" s="29">
      <c r="A75" s="36" t="inlineStr">
        <is>
          <t>MX-RBAC-0073</t>
        </is>
      </c>
      <c r="B75" s="53" t="inlineStr">
        <is>
          <t>P0</t>
        </is>
      </c>
      <c r="C75" s="36" t="inlineStr">
        <is>
          <t>Backend+RBAC</t>
        </is>
      </c>
      <c r="D75" s="36" t="inlineStr">
        <is>
          <t>Super-admin impersonation (view-as)</t>
        </is>
      </c>
      <c r="E75" s="36" t="inlineStr">
        <is>
          <t>Verifies the access decision when a 'Anonymous' account reaches the 'Super-admin impersonation (view-as)' area. RBAC is enforced server-side; the historical dual-admin and silent-admin-failure incidents came from getting exactly these decisions wrong. Expected owner of this area is 'Super Admin'.</t>
        </is>
      </c>
      <c r="F75" s="36" t="inlineStr">
        <is>
          <t>Anonymous test account available; intercepting proxy for tamper attempts.</t>
        </is>
      </c>
      <c r="G75" s="36" t="inlineStr">
        <is>
          <t>1) Log in as Anonymous (or stay anonymous). 2) Attempt to reach 'Super-admin impersonation (view-as)' directly by URL and by tampering the role in the request. 3) Observe.</t>
        </is>
      </c>
      <c r="H75" s="36" t="inlineStr">
        <is>
          <t>Access DENIED with a structured error (never a blank page, never data leakage); role tampering does not elevate; denial is server-side.</t>
        </is>
      </c>
      <c r="I75" s="36" t="inlineStr">
        <is>
          <t>Screenshot/response capture of the access decision</t>
        </is>
      </c>
      <c r="J75" s="41" t="inlineStr">
        <is>
          <t>NOT RUN</t>
        </is>
      </c>
      <c r="K75" s="36" t="inlineStr">
        <is>
          <t>Claude (pending env)</t>
        </is>
      </c>
      <c r="L75" s="36" t="n"/>
      <c r="M75" s="36" t="n"/>
      <c r="N75" s="36" t="inlineStr">
        <is>
          <t>[T4 | Phase 4 | Claude (pending env)] Playwright/authenticated-API against running env. awaiting running staging URL + test accounts</t>
        </is>
      </c>
    </row>
    <row r="76" ht="53.7" customHeight="1" s="29">
      <c r="A76" s="37" t="inlineStr">
        <is>
          <t>MX-RBAC-0074</t>
        </is>
      </c>
      <c r="B76" s="53" t="inlineStr">
        <is>
          <t>P0</t>
        </is>
      </c>
      <c r="C76" s="37" t="inlineStr">
        <is>
          <t>Backend+RBAC</t>
        </is>
      </c>
      <c r="D76" s="37" t="inlineStr">
        <is>
          <t>Super-admin impersonation (view-as)</t>
        </is>
      </c>
      <c r="E76" s="37" t="inlineStr">
        <is>
          <t>Verifies the access decision when a 'Student' account reaches the 'Super-admin impersonation (view-as)' area. RBAC is enforced server-side; the historical dual-admin and silent-admin-failure incidents came from getting exactly these decisions wrong. Expected owner of this area is 'Super Admin'.</t>
        </is>
      </c>
      <c r="F76" s="37" t="inlineStr">
        <is>
          <t>Student test account available; intercepting proxy for tamper attempts.</t>
        </is>
      </c>
      <c r="G76" s="37" t="inlineStr">
        <is>
          <t>1) Log in as Student (or stay anonymous). 2) Attempt to reach 'Super-admin impersonation (view-as)' directly by URL and by tampering the role in the request. 3) Observe.</t>
        </is>
      </c>
      <c r="H76" s="37" t="inlineStr">
        <is>
          <t>Access DENIED with a structured error (never a blank page, never data leakage); role tampering does not elevate; denial is server-side.</t>
        </is>
      </c>
      <c r="I76" s="37" t="inlineStr">
        <is>
          <t>Screenshot/response capture of the access decision</t>
        </is>
      </c>
      <c r="J76" s="43" t="inlineStr">
        <is>
          <t>NOT RUN</t>
        </is>
      </c>
      <c r="K76" s="37" t="inlineStr">
        <is>
          <t>Claude (pending env)</t>
        </is>
      </c>
      <c r="L76" s="37" t="n"/>
      <c r="M76" s="37" t="n"/>
      <c r="N76" s="37" t="inlineStr">
        <is>
          <t>[T4 | Phase 4 | Claude (pending env)] Playwright/authenticated-API against running env. awaiting running staging URL + test accounts</t>
        </is>
      </c>
    </row>
    <row r="77" ht="53.7" customHeight="1" s="29">
      <c r="A77" s="36" t="inlineStr">
        <is>
          <t>MX-RBAC-0075</t>
        </is>
      </c>
      <c r="B77" s="53" t="inlineStr">
        <is>
          <t>P0</t>
        </is>
      </c>
      <c r="C77" s="36" t="inlineStr">
        <is>
          <t>Backend+RBAC</t>
        </is>
      </c>
      <c r="D77" s="36" t="inlineStr">
        <is>
          <t>Super-admin impersonation (view-as)</t>
        </is>
      </c>
      <c r="E77" s="36" t="inlineStr">
        <is>
          <t>Verifies the access decision when a 'Parent' account reaches the 'Super-admin impersonation (view-as)' area. RBAC is enforced server-side; the historical dual-admin and silent-admin-failure incidents came from getting exactly these decisions wrong. Expected owner of this area is 'Super Admin'.</t>
        </is>
      </c>
      <c r="F77" s="36" t="inlineStr">
        <is>
          <t>Parent test account available; intercepting proxy for tamper attempts.</t>
        </is>
      </c>
      <c r="G77" s="36" t="inlineStr">
        <is>
          <t>1) Log in as Parent (or stay anonymous). 2) Attempt to reach 'Super-admin impersonation (view-as)' directly by URL and by tampering the role in the request. 3) Observe.</t>
        </is>
      </c>
      <c r="H77" s="36" t="inlineStr">
        <is>
          <t>Access DENIED with a structured error (never a blank page, never data leakage); role tampering does not elevate; denial is server-side.</t>
        </is>
      </c>
      <c r="I77" s="36" t="inlineStr">
        <is>
          <t>Screenshot/response capture of the access decision</t>
        </is>
      </c>
      <c r="J77" s="41" t="inlineStr">
        <is>
          <t>NOT RUN</t>
        </is>
      </c>
      <c r="K77" s="36" t="inlineStr">
        <is>
          <t>Claude (pending env)</t>
        </is>
      </c>
      <c r="L77" s="36" t="n"/>
      <c r="M77" s="36" t="n"/>
      <c r="N77" s="36" t="inlineStr">
        <is>
          <t>[T4 | Phase 4 | Claude (pending env)] Playwright/authenticated-API against running env. awaiting running staging URL + test accounts</t>
        </is>
      </c>
    </row>
    <row r="78" ht="53.7" customHeight="1" s="29">
      <c r="A78" s="37" t="inlineStr">
        <is>
          <t>MX-RBAC-0076</t>
        </is>
      </c>
      <c r="B78" s="53" t="inlineStr">
        <is>
          <t>P0</t>
        </is>
      </c>
      <c r="C78" s="37" t="inlineStr">
        <is>
          <t>Backend+RBAC</t>
        </is>
      </c>
      <c r="D78" s="37" t="inlineStr">
        <is>
          <t>Super-admin impersonation (view-as)</t>
        </is>
      </c>
      <c r="E78" s="37" t="inlineStr">
        <is>
          <t>Verifies the access decision when a 'Teacher' account reaches the 'Super-admin impersonation (view-as)' area. RBAC is enforced server-side; the historical dual-admin and silent-admin-failure incidents came from getting exactly these decisions wrong. Expected owner of this area is 'Super Admin'.</t>
        </is>
      </c>
      <c r="F78" s="37" t="inlineStr">
        <is>
          <t>Teacher test account available; intercepting proxy for tamper attempts.</t>
        </is>
      </c>
      <c r="G78" s="37" t="inlineStr">
        <is>
          <t>1) Log in as Teacher (or stay anonymous). 2) Attempt to reach 'Super-admin impersonation (view-as)' directly by URL and by tampering the role in the request. 3) Observe.</t>
        </is>
      </c>
      <c r="H78" s="37" t="inlineStr">
        <is>
          <t>Access DENIED with a structured error (never a blank page, never data leakage); role tampering does not elevate; denial is server-side.</t>
        </is>
      </c>
      <c r="I78" s="37" t="inlineStr">
        <is>
          <t>Screenshot/response capture of the access decision</t>
        </is>
      </c>
      <c r="J78" s="43" t="inlineStr">
        <is>
          <t>NOT RUN</t>
        </is>
      </c>
      <c r="K78" s="37" t="inlineStr">
        <is>
          <t>Claude (pending env)</t>
        </is>
      </c>
      <c r="L78" s="37" t="n"/>
      <c r="M78" s="37" t="n"/>
      <c r="N78" s="37" t="inlineStr">
        <is>
          <t>[T4 | Phase 4 | Claude (pending env)] Playwright/authenticated-API against running env. awaiting running staging URL + test accounts</t>
        </is>
      </c>
    </row>
    <row r="79" ht="53.7" customHeight="1" s="29">
      <c r="A79" s="36" t="inlineStr">
        <is>
          <t>MX-RBAC-0077</t>
        </is>
      </c>
      <c r="B79" s="53" t="inlineStr">
        <is>
          <t>P0</t>
        </is>
      </c>
      <c r="C79" s="36" t="inlineStr">
        <is>
          <t>Backend+RBAC</t>
        </is>
      </c>
      <c r="D79" s="36" t="inlineStr">
        <is>
          <t>Super-admin impersonation (view-as)</t>
        </is>
      </c>
      <c r="E79" s="36" t="inlineStr">
        <is>
          <t>Verifies the access decision when a 'School Admin' account reaches the 'Super-admin impersonation (view-as)' area. RBAC is enforced server-side; the historical dual-admin and silent-admin-failure incidents came from getting exactly these decisions wrong. Expected owner of this area is 'Super Admin'.</t>
        </is>
      </c>
      <c r="F79" s="36" t="inlineStr">
        <is>
          <t>School Admin test account available; intercepting proxy for tamper attempts.</t>
        </is>
      </c>
      <c r="G79" s="36" t="inlineStr">
        <is>
          <t>1) Log in as School Admin (or stay anonymous). 2) Attempt to reach 'Super-admin impersonation (view-as)' directly by URL and by tampering the role in the request. 3) Observe.</t>
        </is>
      </c>
      <c r="H79" s="36" t="inlineStr">
        <is>
          <t>Access DENIED with a structured error (never a blank page, never data leakage); role tampering does not elevate; denial is server-side.</t>
        </is>
      </c>
      <c r="I79" s="36" t="inlineStr">
        <is>
          <t>Screenshot/response capture of the access decision</t>
        </is>
      </c>
      <c r="J79" s="41" t="inlineStr">
        <is>
          <t>NOT RUN</t>
        </is>
      </c>
      <c r="K79" s="36" t="inlineStr">
        <is>
          <t>Claude (pending env)</t>
        </is>
      </c>
      <c r="L79" s="36" t="n"/>
      <c r="M79" s="36" t="n"/>
      <c r="N79" s="36" t="inlineStr">
        <is>
          <t>[T4 | Phase 4 | Claude (pending env)] Playwright/authenticated-API against running env. awaiting running staging URL + test accounts</t>
        </is>
      </c>
    </row>
    <row r="80" ht="53.7" customHeight="1" s="29">
      <c r="A80" s="37" t="inlineStr">
        <is>
          <t>MX-RBAC-0078</t>
        </is>
      </c>
      <c r="B80" s="53" t="inlineStr">
        <is>
          <t>P0</t>
        </is>
      </c>
      <c r="C80" s="37" t="inlineStr">
        <is>
          <t>Backend+RBAC</t>
        </is>
      </c>
      <c r="D80" s="37" t="inlineStr">
        <is>
          <t>Super-admin impersonation (view-as)</t>
        </is>
      </c>
      <c r="E80" s="37" t="inlineStr">
        <is>
          <t>Verifies the access decision when a 'Super Admin' account reaches the 'Super-admin impersonation (view-as)' area. RBAC is enforced server-side; the historical dual-admin and silent-admin-failure incidents came from getting exactly these decisions wrong. Expected owner of this area is 'Super Admin'.</t>
        </is>
      </c>
      <c r="F80" s="37" t="inlineStr">
        <is>
          <t>Super Admin test account available; intercepting proxy for tamper attempts.</t>
        </is>
      </c>
      <c r="G80" s="37" t="inlineStr">
        <is>
          <t>1) Log in as Super Admin. 2) Open the 'Super-admin impersonation (view-as)' area normally. 3) Confirm full, correct access and that the action audit-logs where applicable.</t>
        </is>
      </c>
      <c r="H80" s="37" t="inlineStr">
        <is>
          <t>Super Admin has correct access to 'Super-admin impersonation (view-as)'; server-side role check passes; audited where relevant.</t>
        </is>
      </c>
      <c r="I80" s="37" t="inlineStr">
        <is>
          <t>Screenshot/response capture of the access decision</t>
        </is>
      </c>
      <c r="J80" s="43" t="inlineStr">
        <is>
          <t>NOT RUN</t>
        </is>
      </c>
      <c r="K80" s="37" t="inlineStr">
        <is>
          <t>Claude (pending env)</t>
        </is>
      </c>
      <c r="L80" s="37" t="n"/>
      <c r="M80" s="37" t="n"/>
      <c r="N80" s="37" t="inlineStr">
        <is>
          <t>[T4 | Phase 4 | Claude (pending env)] Playwright/authenticated-API against running env. awaiting running staging URL + test accounts</t>
        </is>
      </c>
    </row>
    <row r="81" ht="53.7" customHeight="1" s="29">
      <c r="A81" s="36" t="inlineStr">
        <is>
          <t>MX-RBAC-0079</t>
        </is>
      </c>
      <c r="B81" s="53" t="inlineStr">
        <is>
          <t>P0</t>
        </is>
      </c>
      <c r="C81" s="36" t="inlineStr">
        <is>
          <t>Backend+RBAC</t>
        </is>
      </c>
      <c r="D81" s="36" t="inlineStr">
        <is>
          <t>Super-admin AI cost &amp; payment ops</t>
        </is>
      </c>
      <c r="E81" s="36" t="inlineStr">
        <is>
          <t>Verifies the access decision when a 'Anonymous' account reaches the 'Super-admin AI cost &amp; payment ops' area. RBAC is enforced server-side; the historical dual-admin and silent-admin-failure incidents came from getting exactly these decisions wrong. Expected owner of this area is 'Super Admin'.</t>
        </is>
      </c>
      <c r="F81" s="36" t="inlineStr">
        <is>
          <t>Anonymous test account available; intercepting proxy for tamper attempts.</t>
        </is>
      </c>
      <c r="G81" s="36" t="inlineStr">
        <is>
          <t>1) Log in as Anonymous (or stay anonymous). 2) Attempt to reach 'Super-admin AI cost &amp; payment ops' directly by URL and by tampering the role in the request. 3) Observe.</t>
        </is>
      </c>
      <c r="H81" s="36" t="inlineStr">
        <is>
          <t>Access DENIED with a structured error (never a blank page, never data leakage); role tampering does not elevate; denial is server-side.</t>
        </is>
      </c>
      <c r="I81" s="36" t="inlineStr">
        <is>
          <t>Screenshot/response capture of the access decision</t>
        </is>
      </c>
      <c r="J81" s="41" t="inlineStr">
        <is>
          <t>NOT RUN</t>
        </is>
      </c>
      <c r="K81" s="36" t="inlineStr">
        <is>
          <t>Claude (pending env)</t>
        </is>
      </c>
      <c r="L81" s="36" t="n"/>
      <c r="M81" s="36" t="n"/>
      <c r="N81" s="36" t="inlineStr">
        <is>
          <t>[T4 | Phase 4 | Claude (pending env)] Playwright/authenticated-API against running env. awaiting running staging URL + test accounts</t>
        </is>
      </c>
    </row>
    <row r="82" ht="53.7" customHeight="1" s="29">
      <c r="A82" s="37" t="inlineStr">
        <is>
          <t>MX-RBAC-0080</t>
        </is>
      </c>
      <c r="B82" s="53" t="inlineStr">
        <is>
          <t>P0</t>
        </is>
      </c>
      <c r="C82" s="37" t="inlineStr">
        <is>
          <t>Backend+RBAC</t>
        </is>
      </c>
      <c r="D82" s="37" t="inlineStr">
        <is>
          <t>Super-admin AI cost &amp; payment ops</t>
        </is>
      </c>
      <c r="E82" s="37" t="inlineStr">
        <is>
          <t>Verifies the access decision when a 'Student' account reaches the 'Super-admin AI cost &amp; payment ops' area. RBAC is enforced server-side; the historical dual-admin and silent-admin-failure incidents came from getting exactly these decisions wrong. Expected owner of this area is 'Super Admin'.</t>
        </is>
      </c>
      <c r="F82" s="37" t="inlineStr">
        <is>
          <t>Student test account available; intercepting proxy for tamper attempts.</t>
        </is>
      </c>
      <c r="G82" s="37" t="inlineStr">
        <is>
          <t>1) Log in as Student (or stay anonymous). 2) Attempt to reach 'Super-admin AI cost &amp; payment ops' directly by URL and by tampering the role in the request. 3) Observe.</t>
        </is>
      </c>
      <c r="H82" s="37" t="inlineStr">
        <is>
          <t>Access DENIED with a structured error (never a blank page, never data leakage); role tampering does not elevate; denial is server-side.</t>
        </is>
      </c>
      <c r="I82" s="37" t="inlineStr">
        <is>
          <t>Screenshot/response capture of the access decision</t>
        </is>
      </c>
      <c r="J82" s="43" t="inlineStr">
        <is>
          <t>NOT RUN</t>
        </is>
      </c>
      <c r="K82" s="37" t="inlineStr">
        <is>
          <t>Claude (pending env)</t>
        </is>
      </c>
      <c r="L82" s="37" t="n"/>
      <c r="M82" s="37" t="n"/>
      <c r="N82" s="37" t="inlineStr">
        <is>
          <t>[T4 | Phase 4 | Claude (pending env)] Playwright/authenticated-API against running env. awaiting running staging URL + test accounts</t>
        </is>
      </c>
    </row>
    <row r="83" ht="53.7" customHeight="1" s="29">
      <c r="A83" s="36" t="inlineStr">
        <is>
          <t>MX-RBAC-0081</t>
        </is>
      </c>
      <c r="B83" s="53" t="inlineStr">
        <is>
          <t>P0</t>
        </is>
      </c>
      <c r="C83" s="36" t="inlineStr">
        <is>
          <t>Backend+RBAC</t>
        </is>
      </c>
      <c r="D83" s="36" t="inlineStr">
        <is>
          <t>Super-admin AI cost &amp; payment ops</t>
        </is>
      </c>
      <c r="E83" s="36" t="inlineStr">
        <is>
          <t>Verifies the access decision when a 'Parent' account reaches the 'Super-admin AI cost &amp; payment ops' area. RBAC is enforced server-side; the historical dual-admin and silent-admin-failure incidents came from getting exactly these decisions wrong. Expected owner of this area is 'Super Admin'.</t>
        </is>
      </c>
      <c r="F83" s="36" t="inlineStr">
        <is>
          <t>Parent test account available; intercepting proxy for tamper attempts.</t>
        </is>
      </c>
      <c r="G83" s="36" t="inlineStr">
        <is>
          <t>1) Log in as Parent (or stay anonymous). 2) Attempt to reach 'Super-admin AI cost &amp; payment ops' directly by URL and by tampering the role in the request. 3) Observe.</t>
        </is>
      </c>
      <c r="H83" s="36" t="inlineStr">
        <is>
          <t>Access DENIED with a structured error (never a blank page, never data leakage); role tampering does not elevate; denial is server-side.</t>
        </is>
      </c>
      <c r="I83" s="36" t="inlineStr">
        <is>
          <t>Screenshot/response capture of the access decision</t>
        </is>
      </c>
      <c r="J83" s="41" t="inlineStr">
        <is>
          <t>NOT RUN</t>
        </is>
      </c>
      <c r="K83" s="36" t="inlineStr">
        <is>
          <t>Claude (pending env)</t>
        </is>
      </c>
      <c r="L83" s="36" t="n"/>
      <c r="M83" s="36" t="n"/>
      <c r="N83" s="36" t="inlineStr">
        <is>
          <t>[T4 | Phase 4 | Claude (pending env)] Playwright/authenticated-API against running env. awaiting running staging URL + test accounts</t>
        </is>
      </c>
    </row>
    <row r="84" ht="53.7" customHeight="1" s="29">
      <c r="A84" s="37" t="inlineStr">
        <is>
          <t>MX-RBAC-0082</t>
        </is>
      </c>
      <c r="B84" s="53" t="inlineStr">
        <is>
          <t>P0</t>
        </is>
      </c>
      <c r="C84" s="37" t="inlineStr">
        <is>
          <t>Backend+RBAC</t>
        </is>
      </c>
      <c r="D84" s="37" t="inlineStr">
        <is>
          <t>Super-admin AI cost &amp; payment ops</t>
        </is>
      </c>
      <c r="E84" s="37" t="inlineStr">
        <is>
          <t>Verifies the access decision when a 'Teacher' account reaches the 'Super-admin AI cost &amp; payment ops' area. RBAC is enforced server-side; the historical dual-admin and silent-admin-failure incidents came from getting exactly these decisions wrong. Expected owner of this area is 'Super Admin'.</t>
        </is>
      </c>
      <c r="F84" s="37" t="inlineStr">
        <is>
          <t>Teacher test account available; intercepting proxy for tamper attempts.</t>
        </is>
      </c>
      <c r="G84" s="37" t="inlineStr">
        <is>
          <t>1) Log in as Teacher (or stay anonymous). 2) Attempt to reach 'Super-admin AI cost &amp; payment ops' directly by URL and by tampering the role in the request. 3) Observe.</t>
        </is>
      </c>
      <c r="H84" s="37" t="inlineStr">
        <is>
          <t>Access DENIED with a structured error (never a blank page, never data leakage); role tampering does not elevate; denial is server-side.</t>
        </is>
      </c>
      <c r="I84" s="37" t="inlineStr">
        <is>
          <t>Screenshot/response capture of the access decision</t>
        </is>
      </c>
      <c r="J84" s="43" t="inlineStr">
        <is>
          <t>NOT RUN</t>
        </is>
      </c>
      <c r="K84" s="37" t="inlineStr">
        <is>
          <t>Claude (pending env)</t>
        </is>
      </c>
      <c r="L84" s="37" t="n"/>
      <c r="M84" s="37" t="n"/>
      <c r="N84" s="37" t="inlineStr">
        <is>
          <t>[T4 | Phase 4 | Claude (pending env)] Playwright/authenticated-API against running env. awaiting running staging URL + test accounts</t>
        </is>
      </c>
    </row>
    <row r="85" ht="53.7" customHeight="1" s="29">
      <c r="A85" s="36" t="inlineStr">
        <is>
          <t>MX-RBAC-0083</t>
        </is>
      </c>
      <c r="B85" s="53" t="inlineStr">
        <is>
          <t>P0</t>
        </is>
      </c>
      <c r="C85" s="36" t="inlineStr">
        <is>
          <t>Backend+RBAC</t>
        </is>
      </c>
      <c r="D85" s="36" t="inlineStr">
        <is>
          <t>Super-admin AI cost &amp; payment ops</t>
        </is>
      </c>
      <c r="E85" s="36" t="inlineStr">
        <is>
          <t>Verifies the access decision when a 'School Admin' account reaches the 'Super-admin AI cost &amp; payment ops' area. RBAC is enforced server-side; the historical dual-admin and silent-admin-failure incidents came from getting exactly these decisions wrong. Expected owner of this area is 'Super Admin'.</t>
        </is>
      </c>
      <c r="F85" s="36" t="inlineStr">
        <is>
          <t>School Admin test account available; intercepting proxy for tamper attempts.</t>
        </is>
      </c>
      <c r="G85" s="36" t="inlineStr">
        <is>
          <t>1) Log in as School Admin (or stay anonymous). 2) Attempt to reach 'Super-admin AI cost &amp; payment ops' directly by URL and by tampering the role in the request. 3) Observe.</t>
        </is>
      </c>
      <c r="H85" s="36" t="inlineStr">
        <is>
          <t>Access DENIED with a structured error (never a blank page, never data leakage); role tampering does not elevate; denial is server-side.</t>
        </is>
      </c>
      <c r="I85" s="36" t="inlineStr">
        <is>
          <t>Screenshot/response capture of the access decision</t>
        </is>
      </c>
      <c r="J85" s="41" t="inlineStr">
        <is>
          <t>NOT RUN</t>
        </is>
      </c>
      <c r="K85" s="36" t="inlineStr">
        <is>
          <t>Claude (pending env)</t>
        </is>
      </c>
      <c r="L85" s="36" t="n"/>
      <c r="M85" s="36" t="n"/>
      <c r="N85" s="36" t="inlineStr">
        <is>
          <t>[T4 | Phase 4 | Claude (pending env)] Playwright/authenticated-API against running env. awaiting running staging URL + test accounts</t>
        </is>
      </c>
    </row>
    <row r="86" ht="53.7" customHeight="1" s="29">
      <c r="A86" s="37" t="inlineStr">
        <is>
          <t>MX-RBAC-0084</t>
        </is>
      </c>
      <c r="B86" s="53" t="inlineStr">
        <is>
          <t>P0</t>
        </is>
      </c>
      <c r="C86" s="37" t="inlineStr">
        <is>
          <t>Backend+RBAC</t>
        </is>
      </c>
      <c r="D86" s="37" t="inlineStr">
        <is>
          <t>Super-admin AI cost &amp; payment ops</t>
        </is>
      </c>
      <c r="E86" s="37" t="inlineStr">
        <is>
          <t>Verifies the access decision when a 'Super Admin' account reaches the 'Super-admin AI cost &amp; payment ops' area. RBAC is enforced server-side; the historical dual-admin and silent-admin-failure incidents came from getting exactly these decisions wrong. Expected owner of this area is 'Super Admin'.</t>
        </is>
      </c>
      <c r="F86" s="37" t="inlineStr">
        <is>
          <t>Super Admin test account available; intercepting proxy for tamper attempts.</t>
        </is>
      </c>
      <c r="G86" s="37" t="inlineStr">
        <is>
          <t>1) Log in as Super Admin. 2) Open the 'Super-admin AI cost &amp; payment ops' area normally. 3) Confirm full, correct access and that the action audit-logs where applicable.</t>
        </is>
      </c>
      <c r="H86" s="37" t="inlineStr">
        <is>
          <t>Super Admin has correct access to 'Super-admin AI cost &amp; payment ops'; server-side role check passes; audited where relevant.</t>
        </is>
      </c>
      <c r="I86" s="37" t="inlineStr">
        <is>
          <t>Screenshot/response capture of the access decision</t>
        </is>
      </c>
      <c r="J86" s="43" t="inlineStr">
        <is>
          <t>NOT RUN</t>
        </is>
      </c>
      <c r="K86" s="37" t="inlineStr">
        <is>
          <t>Claude (pending env)</t>
        </is>
      </c>
      <c r="L86" s="37" t="n"/>
      <c r="M86" s="37" t="n"/>
      <c r="N86" s="37" t="inlineStr">
        <is>
          <t>[T4 | Phase 4 | Claude (pending env)] Playwright/authenticated-API against running env. awaiting running staging URL + test accounts</t>
        </is>
      </c>
    </row>
    <row r="87" ht="53.7" customHeight="1" s="29">
      <c r="A87" s="36" t="inlineStr">
        <is>
          <t>MX-RBAC-0085</t>
        </is>
      </c>
      <c r="B87" s="53" t="inlineStr">
        <is>
          <t>P0</t>
        </is>
      </c>
      <c r="C87" s="36" t="inlineStr">
        <is>
          <t>Backend+RBAC</t>
        </is>
      </c>
      <c r="D87" s="36" t="inlineStr">
        <is>
          <t>Super-admin RBAC administration</t>
        </is>
      </c>
      <c r="E87" s="36" t="inlineStr">
        <is>
          <t>Verifies the access decision when a 'Anonymous' account reaches the 'Super-admin RBAC administration' area. RBAC is enforced server-side; the historical dual-admin and silent-admin-failure incidents came from getting exactly these decisions wrong. Expected owner of this area is 'Super Admin'.</t>
        </is>
      </c>
      <c r="F87" s="36" t="inlineStr">
        <is>
          <t>Anonymous test account available; intercepting proxy for tamper attempts.</t>
        </is>
      </c>
      <c r="G87" s="36" t="inlineStr">
        <is>
          <t>1) Log in as Anonymous (or stay anonymous). 2) Attempt to reach 'Super-admin RBAC administration' directly by URL and by tampering the role in the request. 3) Observe.</t>
        </is>
      </c>
      <c r="H87" s="36" t="inlineStr">
        <is>
          <t>Access DENIED with a structured error (never a blank page, never data leakage); role tampering does not elevate; denial is server-side.</t>
        </is>
      </c>
      <c r="I87" s="36" t="inlineStr">
        <is>
          <t>Screenshot/response capture of the access decision</t>
        </is>
      </c>
      <c r="J87" s="41" t="inlineStr">
        <is>
          <t>NOT RUN</t>
        </is>
      </c>
      <c r="K87" s="36" t="inlineStr">
        <is>
          <t>Claude (pending env)</t>
        </is>
      </c>
      <c r="L87" s="36" t="n"/>
      <c r="M87" s="36" t="n"/>
      <c r="N87" s="36" t="inlineStr">
        <is>
          <t>[T4 | Phase 4 | Claude (pending env)] Playwright/authenticated-API against running env. awaiting running staging URL + test accounts</t>
        </is>
      </c>
    </row>
    <row r="88" ht="53.7" customHeight="1" s="29">
      <c r="A88" s="37" t="inlineStr">
        <is>
          <t>MX-RBAC-0086</t>
        </is>
      </c>
      <c r="B88" s="53" t="inlineStr">
        <is>
          <t>P0</t>
        </is>
      </c>
      <c r="C88" s="37" t="inlineStr">
        <is>
          <t>Backend+RBAC</t>
        </is>
      </c>
      <c r="D88" s="37" t="inlineStr">
        <is>
          <t>Super-admin RBAC administration</t>
        </is>
      </c>
      <c r="E88" s="37" t="inlineStr">
        <is>
          <t>Verifies the access decision when a 'Student' account reaches the 'Super-admin RBAC administration' area. RBAC is enforced server-side; the historical dual-admin and silent-admin-failure incidents came from getting exactly these decisions wrong. Expected owner of this area is 'Super Admin'.</t>
        </is>
      </c>
      <c r="F88" s="37" t="inlineStr">
        <is>
          <t>Student test account available; intercepting proxy for tamper attempts.</t>
        </is>
      </c>
      <c r="G88" s="37" t="inlineStr">
        <is>
          <t>1) Log in as Student (or stay anonymous). 2) Attempt to reach 'Super-admin RBAC administration' directly by URL and by tampering the role in the request. 3) Observe.</t>
        </is>
      </c>
      <c r="H88" s="37" t="inlineStr">
        <is>
          <t>Access DENIED with a structured error (never a blank page, never data leakage); role tampering does not elevate; denial is server-side.</t>
        </is>
      </c>
      <c r="I88" s="37" t="inlineStr">
        <is>
          <t>Screenshot/response capture of the access decision</t>
        </is>
      </c>
      <c r="J88" s="43" t="inlineStr">
        <is>
          <t>NOT RUN</t>
        </is>
      </c>
      <c r="K88" s="37" t="inlineStr">
        <is>
          <t>Claude (pending env)</t>
        </is>
      </c>
      <c r="L88" s="37" t="n"/>
      <c r="M88" s="37" t="n"/>
      <c r="N88" s="37" t="inlineStr">
        <is>
          <t>[T4 | Phase 4 | Claude (pending env)] Playwright/authenticated-API against running env. awaiting running staging URL + test accounts</t>
        </is>
      </c>
    </row>
    <row r="89" ht="53.7" customHeight="1" s="29">
      <c r="A89" s="36" t="inlineStr">
        <is>
          <t>MX-RBAC-0087</t>
        </is>
      </c>
      <c r="B89" s="53" t="inlineStr">
        <is>
          <t>P0</t>
        </is>
      </c>
      <c r="C89" s="36" t="inlineStr">
        <is>
          <t>Backend+RBAC</t>
        </is>
      </c>
      <c r="D89" s="36" t="inlineStr">
        <is>
          <t>Super-admin RBAC administration</t>
        </is>
      </c>
      <c r="E89" s="36" t="inlineStr">
        <is>
          <t>Verifies the access decision when a 'Parent' account reaches the 'Super-admin RBAC administration' area. RBAC is enforced server-side; the historical dual-admin and silent-admin-failure incidents came from getting exactly these decisions wrong. Expected owner of this area is 'Super Admin'.</t>
        </is>
      </c>
      <c r="F89" s="36" t="inlineStr">
        <is>
          <t>Parent test account available; intercepting proxy for tamper attempts.</t>
        </is>
      </c>
      <c r="G89" s="36" t="inlineStr">
        <is>
          <t>1) Log in as Parent (or stay anonymous). 2) Attempt to reach 'Super-admin RBAC administration' directly by URL and by tampering the role in the request. 3) Observe.</t>
        </is>
      </c>
      <c r="H89" s="36" t="inlineStr">
        <is>
          <t>Access DENIED with a structured error (never a blank page, never data leakage); role tampering does not elevate; denial is server-side.</t>
        </is>
      </c>
      <c r="I89" s="36" t="inlineStr">
        <is>
          <t>Screenshot/response capture of the access decision</t>
        </is>
      </c>
      <c r="J89" s="41" t="inlineStr">
        <is>
          <t>NOT RUN</t>
        </is>
      </c>
      <c r="K89" s="36" t="inlineStr">
        <is>
          <t>Claude (pending env)</t>
        </is>
      </c>
      <c r="L89" s="36" t="n"/>
      <c r="M89" s="36" t="n"/>
      <c r="N89" s="36" t="inlineStr">
        <is>
          <t>[T4 | Phase 4 | Claude (pending env)] Playwright/authenticated-API against running env. awaiting running staging URL + test accounts</t>
        </is>
      </c>
    </row>
    <row r="90" ht="53.7" customHeight="1" s="29">
      <c r="A90" s="37" t="inlineStr">
        <is>
          <t>MX-RBAC-0088</t>
        </is>
      </c>
      <c r="B90" s="53" t="inlineStr">
        <is>
          <t>P0</t>
        </is>
      </c>
      <c r="C90" s="37" t="inlineStr">
        <is>
          <t>Backend+RBAC</t>
        </is>
      </c>
      <c r="D90" s="37" t="inlineStr">
        <is>
          <t>Super-admin RBAC administration</t>
        </is>
      </c>
      <c r="E90" s="37" t="inlineStr">
        <is>
          <t>Verifies the access decision when a 'Teacher' account reaches the 'Super-admin RBAC administration' area. RBAC is enforced server-side; the historical dual-admin and silent-admin-failure incidents came from getting exactly these decisions wrong. Expected owner of this area is 'Super Admin'.</t>
        </is>
      </c>
      <c r="F90" s="37" t="inlineStr">
        <is>
          <t>Teacher test account available; intercepting proxy for tamper attempts.</t>
        </is>
      </c>
      <c r="G90" s="37" t="inlineStr">
        <is>
          <t>1) Log in as Teacher (or stay anonymous). 2) Attempt to reach 'Super-admin RBAC administration' directly by URL and by tampering the role in the request. 3) Observe.</t>
        </is>
      </c>
      <c r="H90" s="37" t="inlineStr">
        <is>
          <t>Access DENIED with a structured error (never a blank page, never data leakage); role tampering does not elevate; denial is server-side.</t>
        </is>
      </c>
      <c r="I90" s="37" t="inlineStr">
        <is>
          <t>Screenshot/response capture of the access decision</t>
        </is>
      </c>
      <c r="J90" s="43" t="inlineStr">
        <is>
          <t>NOT RUN</t>
        </is>
      </c>
      <c r="K90" s="37" t="inlineStr">
        <is>
          <t>Claude (pending env)</t>
        </is>
      </c>
      <c r="L90" s="37" t="n"/>
      <c r="M90" s="37" t="n"/>
      <c r="N90" s="37" t="inlineStr">
        <is>
          <t>[T4 | Phase 4 | Claude (pending env)] Playwright/authenticated-API against running env. awaiting running staging URL + test accounts</t>
        </is>
      </c>
    </row>
    <row r="91" ht="53.7" customHeight="1" s="29">
      <c r="A91" s="36" t="inlineStr">
        <is>
          <t>MX-RBAC-0089</t>
        </is>
      </c>
      <c r="B91" s="53" t="inlineStr">
        <is>
          <t>P0</t>
        </is>
      </c>
      <c r="C91" s="36" t="inlineStr">
        <is>
          <t>Backend+RBAC</t>
        </is>
      </c>
      <c r="D91" s="36" t="inlineStr">
        <is>
          <t>Super-admin RBAC administration</t>
        </is>
      </c>
      <c r="E91" s="36" t="inlineStr">
        <is>
          <t>Verifies the access decision when a 'School Admin' account reaches the 'Super-admin RBAC administration' area. RBAC is enforced server-side; the historical dual-admin and silent-admin-failure incidents came from getting exactly these decisions wrong. Expected owner of this area is 'Super Admin'.</t>
        </is>
      </c>
      <c r="F91" s="36" t="inlineStr">
        <is>
          <t>School Admin test account available; intercepting proxy for tamper attempts.</t>
        </is>
      </c>
      <c r="G91" s="36" t="inlineStr">
        <is>
          <t>1) Log in as School Admin (or stay anonymous). 2) Attempt to reach 'Super-admin RBAC administration' directly by URL and by tampering the role in the request. 3) Observe.</t>
        </is>
      </c>
      <c r="H91" s="36" t="inlineStr">
        <is>
          <t>Access DENIED with a structured error (never a blank page, never data leakage); role tampering does not elevate; denial is server-side.</t>
        </is>
      </c>
      <c r="I91" s="36" t="inlineStr">
        <is>
          <t>Screenshot/response capture of the access decision</t>
        </is>
      </c>
      <c r="J91" s="41" t="inlineStr">
        <is>
          <t>NOT RUN</t>
        </is>
      </c>
      <c r="K91" s="36" t="inlineStr">
        <is>
          <t>Claude (pending env)</t>
        </is>
      </c>
      <c r="L91" s="36" t="n"/>
      <c r="M91" s="36" t="n"/>
      <c r="N91" s="36" t="inlineStr">
        <is>
          <t>[T4 | Phase 4 | Claude (pending env)] Playwright/authenticated-API against running env. awaiting running staging URL + test accounts</t>
        </is>
      </c>
    </row>
    <row r="92" ht="53.7" customHeight="1" s="29">
      <c r="A92" s="37" t="inlineStr">
        <is>
          <t>MX-RBAC-0090</t>
        </is>
      </c>
      <c r="B92" s="53" t="inlineStr">
        <is>
          <t>P0</t>
        </is>
      </c>
      <c r="C92" s="37" t="inlineStr">
        <is>
          <t>Backend+RBAC</t>
        </is>
      </c>
      <c r="D92" s="37" t="inlineStr">
        <is>
          <t>Super-admin RBAC administration</t>
        </is>
      </c>
      <c r="E92" s="37" t="inlineStr">
        <is>
          <t>Verifies the access decision when a 'Super Admin' account reaches the 'Super-admin RBAC administration' area. RBAC is enforced server-side; the historical dual-admin and silent-admin-failure incidents came from getting exactly these decisions wrong. Expected owner of this area is 'Super Admin'.</t>
        </is>
      </c>
      <c r="F92" s="37" t="inlineStr">
        <is>
          <t>Super Admin test account available; intercepting proxy for tamper attempts.</t>
        </is>
      </c>
      <c r="G92" s="37" t="inlineStr">
        <is>
          <t>1) Log in as Super Admin. 2) Open the 'Super-admin RBAC administration' area normally. 3) Confirm full, correct access and that the action audit-logs where applicable.</t>
        </is>
      </c>
      <c r="H92" s="37" t="inlineStr">
        <is>
          <t>Super Admin has correct access to 'Super-admin RBAC administration'; server-side role check passes; audited where relevant.</t>
        </is>
      </c>
      <c r="I92" s="37" t="inlineStr">
        <is>
          <t>Screenshot/response capture of the access decision</t>
        </is>
      </c>
      <c r="J92" s="43" t="inlineStr">
        <is>
          <t>NOT RUN</t>
        </is>
      </c>
      <c r="K92" s="37" t="inlineStr">
        <is>
          <t>Claude (pending env)</t>
        </is>
      </c>
      <c r="L92" s="37" t="n"/>
      <c r="M92" s="37" t="n"/>
      <c r="N92" s="37" t="inlineStr">
        <is>
          <t>[T4 | Phase 4 | Claude (pending env)] Playwright/authenticated-API against running env. awaiting running staging URL + test accounts</t>
        </is>
      </c>
    </row>
    <row r="93" ht="53.7" customHeight="1" s="29">
      <c r="A93" s="36" t="inlineStr">
        <is>
          <t>MX-RBAC-0091</t>
        </is>
      </c>
      <c r="B93" s="53" t="inlineStr">
        <is>
          <t>P0</t>
        </is>
      </c>
      <c r="C93" s="36" t="inlineStr">
        <is>
          <t>Backend+RBAC</t>
        </is>
      </c>
      <c r="D93" s="36" t="inlineStr">
        <is>
          <t>Destructive account/data functions</t>
        </is>
      </c>
      <c r="E93" s="36" t="inlineStr">
        <is>
          <t>Verifies the access decision when a 'Anonymous' account reaches the 'Destructive account/data functions' area. RBAC is enforced server-side; the historical dual-admin and silent-admin-failure incidents came from getting exactly these decisions wrong. Expected owner of this area is 'Super Admin'.</t>
        </is>
      </c>
      <c r="F93" s="36" t="inlineStr">
        <is>
          <t>Anonymous test account available; intercepting proxy for tamper attempts.</t>
        </is>
      </c>
      <c r="G93" s="36" t="inlineStr">
        <is>
          <t>1) Log in as Anonymous (or stay anonymous). 2) Attempt to reach 'Destructive account/data functions' directly by URL and by tampering the role in the request. 3) Observe.</t>
        </is>
      </c>
      <c r="H93" s="36" t="inlineStr">
        <is>
          <t>Access DENIED with a structured error (never a blank page, never data leakage); role tampering does not elevate; denial is server-side.</t>
        </is>
      </c>
      <c r="I93" s="36" t="inlineStr">
        <is>
          <t>Screenshot/response capture of the access decision</t>
        </is>
      </c>
      <c r="J93" s="41" t="inlineStr">
        <is>
          <t>NOT RUN</t>
        </is>
      </c>
      <c r="K93" s="36" t="inlineStr">
        <is>
          <t>Claude (pending env)</t>
        </is>
      </c>
      <c r="L93" s="36" t="n"/>
      <c r="M93" s="36" t="n"/>
      <c r="N93" s="36" t="inlineStr">
        <is>
          <t>[T4 | Phase 4 | Claude (pending env)] Playwright/authenticated-API against running env. awaiting running staging URL + test accounts</t>
        </is>
      </c>
    </row>
    <row r="94" ht="53.7" customHeight="1" s="29">
      <c r="A94" s="37" t="inlineStr">
        <is>
          <t>MX-RBAC-0092</t>
        </is>
      </c>
      <c r="B94" s="53" t="inlineStr">
        <is>
          <t>P0</t>
        </is>
      </c>
      <c r="C94" s="37" t="inlineStr">
        <is>
          <t>Backend+RBAC</t>
        </is>
      </c>
      <c r="D94" s="37" t="inlineStr">
        <is>
          <t>Destructive account/data functions</t>
        </is>
      </c>
      <c r="E94" s="37" t="inlineStr">
        <is>
          <t>Verifies the access decision when a 'Student' account reaches the 'Destructive account/data functions' area. RBAC is enforced server-side; the historical dual-admin and silent-admin-failure incidents came from getting exactly these decisions wrong. Expected owner of this area is 'Super Admin'.</t>
        </is>
      </c>
      <c r="F94" s="37" t="inlineStr">
        <is>
          <t>Student test account available; intercepting proxy for tamper attempts.</t>
        </is>
      </c>
      <c r="G94" s="37" t="inlineStr">
        <is>
          <t>1) Log in as Student (or stay anonymous). 2) Attempt to reach 'Destructive account/data functions' directly by URL and by tampering the role in the request. 3) Observe.</t>
        </is>
      </c>
      <c r="H94" s="37" t="inlineStr">
        <is>
          <t>Access DENIED with a structured error (never a blank page, never data leakage); role tampering does not elevate; denial is server-side.</t>
        </is>
      </c>
      <c r="I94" s="37" t="inlineStr">
        <is>
          <t>Screenshot/response capture of the access decision</t>
        </is>
      </c>
      <c r="J94" s="43" t="inlineStr">
        <is>
          <t>NOT RUN</t>
        </is>
      </c>
      <c r="K94" s="37" t="inlineStr">
        <is>
          <t>Claude (pending env)</t>
        </is>
      </c>
      <c r="L94" s="37" t="n"/>
      <c r="M94" s="37" t="n"/>
      <c r="N94" s="37" t="inlineStr">
        <is>
          <t>[T4 | Phase 4 | Claude (pending env)] Playwright/authenticated-API against running env. awaiting running staging URL + test accounts</t>
        </is>
      </c>
    </row>
    <row r="95" ht="53.7" customHeight="1" s="29">
      <c r="A95" s="36" t="inlineStr">
        <is>
          <t>MX-RBAC-0093</t>
        </is>
      </c>
      <c r="B95" s="53" t="inlineStr">
        <is>
          <t>P0</t>
        </is>
      </c>
      <c r="C95" s="36" t="inlineStr">
        <is>
          <t>Backend+RBAC</t>
        </is>
      </c>
      <c r="D95" s="36" t="inlineStr">
        <is>
          <t>Destructive account/data functions</t>
        </is>
      </c>
      <c r="E95" s="36" t="inlineStr">
        <is>
          <t>Verifies the access decision when a 'Parent' account reaches the 'Destructive account/data functions' area. RBAC is enforced server-side; the historical dual-admin and silent-admin-failure incidents came from getting exactly these decisions wrong. Expected owner of this area is 'Super Admin'.</t>
        </is>
      </c>
      <c r="F95" s="36" t="inlineStr">
        <is>
          <t>Parent test account available; intercepting proxy for tamper attempts.</t>
        </is>
      </c>
      <c r="G95" s="36" t="inlineStr">
        <is>
          <t>1) Log in as Parent (or stay anonymous). 2) Attempt to reach 'Destructive account/data functions' directly by URL and by tampering the role in the request. 3) Observe.</t>
        </is>
      </c>
      <c r="H95" s="36" t="inlineStr">
        <is>
          <t>Access DENIED with a structured error (never a blank page, never data leakage); role tampering does not elevate; denial is server-side.</t>
        </is>
      </c>
      <c r="I95" s="36" t="inlineStr">
        <is>
          <t>Screenshot/response capture of the access decision</t>
        </is>
      </c>
      <c r="J95" s="41" t="inlineStr">
        <is>
          <t>NOT RUN</t>
        </is>
      </c>
      <c r="K95" s="36" t="inlineStr">
        <is>
          <t>Claude (pending env)</t>
        </is>
      </c>
      <c r="L95" s="36" t="n"/>
      <c r="M95" s="36" t="n"/>
      <c r="N95" s="36" t="inlineStr">
        <is>
          <t>[T4 | Phase 4 | Claude (pending env)] Playwright/authenticated-API against running env. awaiting running staging URL + test accounts</t>
        </is>
      </c>
    </row>
    <row r="96" ht="53.7" customHeight="1" s="29">
      <c r="A96" s="37" t="inlineStr">
        <is>
          <t>MX-RBAC-0094</t>
        </is>
      </c>
      <c r="B96" s="53" t="inlineStr">
        <is>
          <t>P0</t>
        </is>
      </c>
      <c r="C96" s="37" t="inlineStr">
        <is>
          <t>Backend+RBAC</t>
        </is>
      </c>
      <c r="D96" s="37" t="inlineStr">
        <is>
          <t>Destructive account/data functions</t>
        </is>
      </c>
      <c r="E96" s="37" t="inlineStr">
        <is>
          <t>Verifies the access decision when a 'Teacher' account reaches the 'Destructive account/data functions' area. RBAC is enforced server-side; the historical dual-admin and silent-admin-failure incidents came from getting exactly these decisions wrong. Expected owner of this area is 'Super Admin'.</t>
        </is>
      </c>
      <c r="F96" s="37" t="inlineStr">
        <is>
          <t>Teacher test account available; intercepting proxy for tamper attempts.</t>
        </is>
      </c>
      <c r="G96" s="37" t="inlineStr">
        <is>
          <t>1) Log in as Teacher (or stay anonymous). 2) Attempt to reach 'Destructive account/data functions' directly by URL and by tampering the role in the request. 3) Observe.</t>
        </is>
      </c>
      <c r="H96" s="37" t="inlineStr">
        <is>
          <t>Access DENIED with a structured error (never a blank page, never data leakage); role tampering does not elevate; denial is server-side.</t>
        </is>
      </c>
      <c r="I96" s="37" t="inlineStr">
        <is>
          <t>Screenshot/response capture of the access decision</t>
        </is>
      </c>
      <c r="J96" s="43" t="inlineStr">
        <is>
          <t>NOT RUN</t>
        </is>
      </c>
      <c r="K96" s="37" t="inlineStr">
        <is>
          <t>Claude (pending env)</t>
        </is>
      </c>
      <c r="L96" s="37" t="n"/>
      <c r="M96" s="37" t="n"/>
      <c r="N96" s="37" t="inlineStr">
        <is>
          <t>[T4 | Phase 4 | Claude (pending env)] Playwright/authenticated-API against running env. awaiting running staging URL + test accounts</t>
        </is>
      </c>
    </row>
    <row r="97" ht="53.7" customHeight="1" s="29">
      <c r="A97" s="36" t="inlineStr">
        <is>
          <t>MX-RBAC-0095</t>
        </is>
      </c>
      <c r="B97" s="53" t="inlineStr">
        <is>
          <t>P0</t>
        </is>
      </c>
      <c r="C97" s="36" t="inlineStr">
        <is>
          <t>Backend+RBAC</t>
        </is>
      </c>
      <c r="D97" s="36" t="inlineStr">
        <is>
          <t>Destructive account/data functions</t>
        </is>
      </c>
      <c r="E97" s="36" t="inlineStr">
        <is>
          <t>Verifies the access decision when a 'School Admin' account reaches the 'Destructive account/data functions' area. RBAC is enforced server-side; the historical dual-admin and silent-admin-failure incidents came from getting exactly these decisions wrong. Expected owner of this area is 'Super Admin'.</t>
        </is>
      </c>
      <c r="F97" s="36" t="inlineStr">
        <is>
          <t>School Admin test account available; intercepting proxy for tamper attempts.</t>
        </is>
      </c>
      <c r="G97" s="36" t="inlineStr">
        <is>
          <t>1) Log in as School Admin (or stay anonymous). 2) Attempt to reach 'Destructive account/data functions' directly by URL and by tampering the role in the request. 3) Observe.</t>
        </is>
      </c>
      <c r="H97" s="36" t="inlineStr">
        <is>
          <t>Access DENIED with a structured error (never a blank page, never data leakage); role tampering does not elevate; denial is server-side.</t>
        </is>
      </c>
      <c r="I97" s="36" t="inlineStr">
        <is>
          <t>Screenshot/response capture of the access decision</t>
        </is>
      </c>
      <c r="J97" s="41" t="inlineStr">
        <is>
          <t>NOT RUN</t>
        </is>
      </c>
      <c r="K97" s="36" t="inlineStr">
        <is>
          <t>Claude (pending env)</t>
        </is>
      </c>
      <c r="L97" s="36" t="n"/>
      <c r="M97" s="36" t="n"/>
      <c r="N97" s="36" t="inlineStr">
        <is>
          <t>[T4 | Phase 4 | Claude (pending env)] Playwright/authenticated-API against running env. awaiting running staging URL + test accounts</t>
        </is>
      </c>
    </row>
    <row r="98" ht="53.7" customHeight="1" s="29">
      <c r="A98" s="37" t="inlineStr">
        <is>
          <t>MX-RBAC-0096</t>
        </is>
      </c>
      <c r="B98" s="53" t="inlineStr">
        <is>
          <t>P0</t>
        </is>
      </c>
      <c r="C98" s="37" t="inlineStr">
        <is>
          <t>Backend+RBAC</t>
        </is>
      </c>
      <c r="D98" s="37" t="inlineStr">
        <is>
          <t>Destructive account/data functions</t>
        </is>
      </c>
      <c r="E98" s="37" t="inlineStr">
        <is>
          <t>Verifies the access decision when a 'Super Admin' account reaches the 'Destructive account/data functions' area. RBAC is enforced server-side; the historical dual-admin and silent-admin-failure incidents came from getting exactly these decisions wrong. Expected owner of this area is 'Super Admin'.</t>
        </is>
      </c>
      <c r="F98" s="37" t="inlineStr">
        <is>
          <t>Super Admin test account available; intercepting proxy for tamper attempts.</t>
        </is>
      </c>
      <c r="G98" s="37" t="inlineStr">
        <is>
          <t>1) Log in as Super Admin. 2) Open the 'Destructive account/data functions' area normally. 3) Confirm full, correct access and that the action audit-logs where applicable.</t>
        </is>
      </c>
      <c r="H98" s="37" t="inlineStr">
        <is>
          <t>Super Admin has correct access to 'Destructive account/data functions'; server-side role check passes; audited where relevant.</t>
        </is>
      </c>
      <c r="I98" s="37" t="inlineStr">
        <is>
          <t>Screenshot/response capture of the access decision</t>
        </is>
      </c>
      <c r="J98" s="43" t="inlineStr">
        <is>
          <t>NOT RUN</t>
        </is>
      </c>
      <c r="K98" s="37" t="inlineStr">
        <is>
          <t>Claude (pending env)</t>
        </is>
      </c>
      <c r="L98" s="37" t="n"/>
      <c r="M98" s="37" t="n"/>
      <c r="N98" s="37" t="inlineStr">
        <is>
          <t>[T4 | Phase 4 | Claude (pending env)] Playwright/authenticated-API against running env. awaiting running staging URL + test accounts</t>
        </is>
      </c>
    </row>
  </sheetData>
  <autoFilter ref="A2:N98"/>
  <mergeCells count="1">
    <mergeCell ref="A1:N1"/>
  </mergeCells>
  <conditionalFormatting sqref="J3:J98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98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N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22 · Matrix — RLS Data Isolation (per table)   —   40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43.25" customHeight="1" s="29">
      <c r="A3" s="36" t="inlineStr">
        <is>
          <t>MX-RLS-0001</t>
        </is>
      </c>
      <c r="B3" s="53" t="inlineStr">
        <is>
          <t>P0</t>
        </is>
      </c>
      <c r="C3" s="36" t="inlineStr">
        <is>
          <t>DB+RLS</t>
        </is>
      </c>
      <c r="D3" s="36" t="inlineStr">
        <is>
          <t>students — read isolation</t>
        </is>
      </c>
      <c r="E3" s="36" t="inlineStr">
        <is>
          <t>Confirms RLS on 'students' prevents one user from READING another user's rows. RLS is the last line of defence against a data leak; a single missing/incorrect policy exposes private student, payment, or consent data.</t>
        </is>
      </c>
      <c r="F3" s="36" t="inlineStr">
        <is>
          <t>Two distinct test accounts (A and B) each with rows in this table; their JWTs.</t>
        </is>
      </c>
      <c r="G3" s="36" t="inlineStr">
        <is>
          <t>1) As user A, query 'students' for A's own rows (should succeed). 2) As user A, attempt to read user B's rows in 'students' by id/filter manipulation. 3) As anonymous, attempt to read 'students'.</t>
        </is>
      </c>
      <c r="H3" s="36" t="inlineStr">
        <is>
          <t>A reads only A's rows; A cannot read B's rows in 'students'; anonymous is blocked. No cross-user leakage.</t>
        </is>
      </c>
      <c r="I3" s="36" t="inlineStr">
        <is>
          <t>SQL results for own-row, cross-user, and anon attempts</t>
        </is>
      </c>
      <c r="J3" s="41" t="inlineStr">
        <is>
          <t>NOT RUN</t>
        </is>
      </c>
      <c r="K3" s="36" t="inlineStr">
        <is>
          <t>Claude (pending env)</t>
        </is>
      </c>
      <c r="L3" s="36" t="n"/>
      <c r="M3" s="36" t="n"/>
      <c r="N3" s="36" t="inlineStr">
        <is>
          <t>[T3 | Phase 3 | Claude (pending env)] parametrized SQL probe via live/staging Supabase. awaiting live/staging Supabase read access + A/B test accounts</t>
        </is>
      </c>
    </row>
    <row r="4" ht="43.25" customHeight="1" s="29">
      <c r="A4" s="37" t="inlineStr">
        <is>
          <t>MX-RLS-0002</t>
        </is>
      </c>
      <c r="B4" s="53" t="inlineStr">
        <is>
          <t>P0</t>
        </is>
      </c>
      <c r="C4" s="37" t="inlineStr">
        <is>
          <t>DB+RLS</t>
        </is>
      </c>
      <c r="D4" s="37" t="inlineStr">
        <is>
          <t>students — write isolation</t>
        </is>
      </c>
      <c r="E4" s="37" t="inlineStr">
        <is>
          <t>Confirms RLS on 'students' prevents one user from WRITING (insert/update/delete) another user's rows. Read-only RLS is not enough: a write gap lets an attacker tamper with someone else's mastery, payments, consent, or reports.</t>
        </is>
      </c>
      <c r="F4" s="37" t="inlineStr">
        <is>
          <t>Two distinct test accounts (A and B) each with rows in this table; their JWTs.</t>
        </is>
      </c>
      <c r="G4" s="37" t="inlineStr">
        <is>
          <t>1) As user A, attempt to UPDATE or DELETE user B's row in 'students' by id manipulation. 2) As user A, attempt to INSERT a row into 'students' attributed to user B. 3) As anonymous, attempt any write to 'students'.</t>
        </is>
      </c>
      <c r="H4" s="37" t="inlineStr">
        <is>
          <t>Every cross-user write is rejected by RLS; anonymous writes blocked; A can only write its own rows.</t>
        </is>
      </c>
      <c r="I4" s="37" t="inlineStr">
        <is>
          <t>SQL results for cross-user update/delete/insert and anon write attempts</t>
        </is>
      </c>
      <c r="J4" s="43" t="inlineStr">
        <is>
          <t>NOT RUN</t>
        </is>
      </c>
      <c r="K4" s="37" t="inlineStr">
        <is>
          <t>Claude (pending env)</t>
        </is>
      </c>
      <c r="L4" s="37" t="n"/>
      <c r="M4" s="37" t="n"/>
      <c r="N4" s="37" t="inlineStr">
        <is>
          <t>[T3 | Phase 3 | Claude (pending env)] parametrized SQL probe via live/staging Supabase. awaiting live/staging Supabase read access + A/B test accounts</t>
        </is>
      </c>
    </row>
    <row r="5" ht="43.25" customHeight="1" s="29">
      <c r="A5" s="36" t="inlineStr">
        <is>
          <t>MX-RLS-0003</t>
        </is>
      </c>
      <c r="B5" s="53" t="inlineStr">
        <is>
          <t>P0</t>
        </is>
      </c>
      <c r="C5" s="36" t="inlineStr">
        <is>
          <t>DB+RLS</t>
        </is>
      </c>
      <c r="D5" s="36" t="inlineStr">
        <is>
          <t>concept_mastery — read isolation</t>
        </is>
      </c>
      <c r="E5" s="36" t="inlineStr">
        <is>
          <t>Confirms RLS on 'concept_mastery' prevents one user from READING another user's rows. RLS is the last line of defence against a data leak; a single missing/incorrect policy exposes private student, payment, or consent data.</t>
        </is>
      </c>
      <c r="F5" s="36" t="inlineStr">
        <is>
          <t>Two distinct test accounts (A and B) each with rows in this table; their JWTs.</t>
        </is>
      </c>
      <c r="G5" s="36" t="inlineStr">
        <is>
          <t>1) As user A, query 'concept_mastery' for A's own rows (should succeed). 2) As user A, attempt to read user B's rows in 'concept_mastery' by id/filter manipulation. 3) As anonymous, attempt to read 'concept_mastery'.</t>
        </is>
      </c>
      <c r="H5" s="36" t="inlineStr">
        <is>
          <t>A reads only A's rows; A cannot read B's rows in 'concept_mastery'; anonymous is blocked. No cross-user leakage.</t>
        </is>
      </c>
      <c r="I5" s="36" t="inlineStr">
        <is>
          <t>SQL results for own-row, cross-user, and anon attempts</t>
        </is>
      </c>
      <c r="J5" s="41" t="inlineStr">
        <is>
          <t>NOT RUN</t>
        </is>
      </c>
      <c r="K5" s="36" t="inlineStr">
        <is>
          <t>Claude (pending env)</t>
        </is>
      </c>
      <c r="L5" s="36" t="n"/>
      <c r="M5" s="36" t="n"/>
      <c r="N5" s="36" t="inlineStr">
        <is>
          <t>[T3 | Phase 3 | Claude (pending env)] parametrized SQL probe via live/staging Supabase. awaiting live/staging Supabase read access + A/B test accounts</t>
        </is>
      </c>
    </row>
    <row r="6" ht="43.25" customHeight="1" s="29">
      <c r="A6" s="37" t="inlineStr">
        <is>
          <t>MX-RLS-0004</t>
        </is>
      </c>
      <c r="B6" s="53" t="inlineStr">
        <is>
          <t>P0</t>
        </is>
      </c>
      <c r="C6" s="37" t="inlineStr">
        <is>
          <t>DB+RLS</t>
        </is>
      </c>
      <c r="D6" s="37" t="inlineStr">
        <is>
          <t>concept_mastery — write isolation</t>
        </is>
      </c>
      <c r="E6" s="37" t="inlineStr">
        <is>
          <t>Confirms RLS on 'concept_mastery' prevents one user from WRITING (insert/update/delete) another user's rows. Read-only RLS is not enough: a write gap lets an attacker tamper with someone else's mastery, payments, consent, or reports.</t>
        </is>
      </c>
      <c r="F6" s="37" t="inlineStr">
        <is>
          <t>Two distinct test accounts (A and B) each with rows in this table; their JWTs.</t>
        </is>
      </c>
      <c r="G6" s="37" t="inlineStr">
        <is>
          <t>1) As user A, attempt to UPDATE or DELETE user B's row in 'concept_mastery' by id manipulation. 2) As user A, attempt to INSERT a row into 'concept_mastery' attributed to user B. 3) As anonymous, attempt any write to 'concept_mastery'.</t>
        </is>
      </c>
      <c r="H6" s="37" t="inlineStr">
        <is>
          <t>Every cross-user write is rejected by RLS; anonymous writes blocked; A can only write its own rows.</t>
        </is>
      </c>
      <c r="I6" s="37" t="inlineStr">
        <is>
          <t>SQL results for cross-user update/delete/insert and anon write attempts</t>
        </is>
      </c>
      <c r="J6" s="43" t="inlineStr">
        <is>
          <t>NOT RUN</t>
        </is>
      </c>
      <c r="K6" s="37" t="inlineStr">
        <is>
          <t>Claude (pending env)</t>
        </is>
      </c>
      <c r="L6" s="37" t="n"/>
      <c r="M6" s="37" t="n"/>
      <c r="N6" s="37" t="inlineStr">
        <is>
          <t>[T3 | Phase 3 | Claude (pending env)] parametrized SQL probe via live/staging Supabase. awaiting live/staging Supabase read access + A/B test accounts</t>
        </is>
      </c>
    </row>
    <row r="7" ht="43.25" customHeight="1" s="29">
      <c r="A7" s="36" t="inlineStr">
        <is>
          <t>MX-RLS-0005</t>
        </is>
      </c>
      <c r="B7" s="54" t="inlineStr">
        <is>
          <t>P1</t>
        </is>
      </c>
      <c r="C7" s="36" t="inlineStr">
        <is>
          <t>DB+RLS</t>
        </is>
      </c>
      <c r="D7" s="36" t="inlineStr">
        <is>
          <t>learner_mastery — read isolation</t>
        </is>
      </c>
      <c r="E7" s="36" t="inlineStr">
        <is>
          <t>Confirms RLS on 'learner_mastery' prevents one user from READING another user's rows. RLS is the last line of defence against a data leak; a single missing/incorrect policy exposes private student, payment, or consent data.</t>
        </is>
      </c>
      <c r="F7" s="36" t="inlineStr">
        <is>
          <t>Two distinct test accounts (A and B) each with rows in this table; their JWTs.</t>
        </is>
      </c>
      <c r="G7" s="36" t="inlineStr">
        <is>
          <t>1) As user A, query 'learner_mastery' for A's own rows (should succeed). 2) As user A, attempt to read user B's rows in 'learner_mastery' by id/filter manipulation. 3) As anonymous, attempt to read 'learner_mastery'.</t>
        </is>
      </c>
      <c r="H7" s="36" t="inlineStr">
        <is>
          <t>A reads only A's rows; A cannot read B's rows in 'learner_mastery'; anonymous is blocked. No cross-user leakage.</t>
        </is>
      </c>
      <c r="I7" s="36" t="inlineStr">
        <is>
          <t>SQL results for own-row, cross-user, and anon attempts</t>
        </is>
      </c>
      <c r="J7" s="41" t="inlineStr">
        <is>
          <t>NOT RUN</t>
        </is>
      </c>
      <c r="K7" s="36" t="inlineStr">
        <is>
          <t>Claude (pending env)</t>
        </is>
      </c>
      <c r="L7" s="36" t="n"/>
      <c r="M7" s="36" t="n"/>
      <c r="N7" s="36" t="inlineStr">
        <is>
          <t>[T3 | Phase 3 | Claude (pending env)] parametrized SQL probe via live/staging Supabase. awaiting live/staging Supabase read access + A/B test accounts</t>
        </is>
      </c>
    </row>
    <row r="8" ht="43.25" customHeight="1" s="29">
      <c r="A8" s="37" t="inlineStr">
        <is>
          <t>MX-RLS-0006</t>
        </is>
      </c>
      <c r="B8" s="54" t="inlineStr">
        <is>
          <t>P1</t>
        </is>
      </c>
      <c r="C8" s="37" t="inlineStr">
        <is>
          <t>DB+RLS</t>
        </is>
      </c>
      <c r="D8" s="37" t="inlineStr">
        <is>
          <t>learner_mastery — write isolation</t>
        </is>
      </c>
      <c r="E8" s="37" t="inlineStr">
        <is>
          <t>Confirms RLS on 'learner_mastery' prevents one user from WRITING (insert/update/delete) another user's rows. Read-only RLS is not enough: a write gap lets an attacker tamper with someone else's mastery, payments, consent, or reports.</t>
        </is>
      </c>
      <c r="F8" s="37" t="inlineStr">
        <is>
          <t>Two distinct test accounts (A and B) each with rows in this table; their JWTs.</t>
        </is>
      </c>
      <c r="G8" s="37" t="inlineStr">
        <is>
          <t>1) As user A, attempt to UPDATE or DELETE user B's row in 'learner_mastery' by id manipulation. 2) As user A, attempt to INSERT a row into 'learner_mastery' attributed to user B. 3) As anonymous, attempt any write to 'learner_mastery'.</t>
        </is>
      </c>
      <c r="H8" s="37" t="inlineStr">
        <is>
          <t>Every cross-user write is rejected by RLS; anonymous writes blocked; A can only write its own rows.</t>
        </is>
      </c>
      <c r="I8" s="37" t="inlineStr">
        <is>
          <t>SQL results for cross-user update/delete/insert and anon write attempts</t>
        </is>
      </c>
      <c r="J8" s="43" t="inlineStr">
        <is>
          <t>NOT RUN</t>
        </is>
      </c>
      <c r="K8" s="37" t="inlineStr">
        <is>
          <t>Claude (pending env)</t>
        </is>
      </c>
      <c r="L8" s="37" t="n"/>
      <c r="M8" s="37" t="n"/>
      <c r="N8" s="37" t="inlineStr">
        <is>
          <t>[T3 | Phase 3 | Claude (pending env)] parametrized SQL probe via live/staging Supabase. awaiting live/staging Supabase read access + A/B test accounts</t>
        </is>
      </c>
    </row>
    <row r="9" ht="43.25" customHeight="1" s="29">
      <c r="A9" s="36" t="inlineStr">
        <is>
          <t>MX-RLS-0007</t>
        </is>
      </c>
      <c r="B9" s="54" t="inlineStr">
        <is>
          <t>P1</t>
        </is>
      </c>
      <c r="C9" s="36" t="inlineStr">
        <is>
          <t>DB+RLS</t>
        </is>
      </c>
      <c r="D9" s="36" t="inlineStr">
        <is>
          <t>concept_attempts — read isolation</t>
        </is>
      </c>
      <c r="E9" s="36" t="inlineStr">
        <is>
          <t>Confirms RLS on 'concept_attempts' prevents one user from READING another user's rows. RLS is the last line of defence against a data leak; a single missing/incorrect policy exposes private student, payment, or consent data.</t>
        </is>
      </c>
      <c r="F9" s="36" t="inlineStr">
        <is>
          <t>Two distinct test accounts (A and B) each with rows in this table; their JWTs.</t>
        </is>
      </c>
      <c r="G9" s="36" t="inlineStr">
        <is>
          <t>1) As user A, query 'concept_attempts' for A's own rows (should succeed). 2) As user A, attempt to read user B's rows in 'concept_attempts' by id/filter manipulation. 3) As anonymous, attempt to read 'concept_attempts'.</t>
        </is>
      </c>
      <c r="H9" s="36" t="inlineStr">
        <is>
          <t>A reads only A's rows; A cannot read B's rows in 'concept_attempts'; anonymous is blocked. No cross-user leakage.</t>
        </is>
      </c>
      <c r="I9" s="36" t="inlineStr">
        <is>
          <t>SQL results for own-row, cross-user, and anon attempts</t>
        </is>
      </c>
      <c r="J9" s="41" t="inlineStr">
        <is>
          <t>NOT RUN</t>
        </is>
      </c>
      <c r="K9" s="36" t="inlineStr">
        <is>
          <t>Claude (pending env)</t>
        </is>
      </c>
      <c r="L9" s="36" t="n"/>
      <c r="M9" s="36" t="n"/>
      <c r="N9" s="36" t="inlineStr">
        <is>
          <t>[T3 | Phase 3 | Claude (pending env)] parametrized SQL probe via live/staging Supabase. awaiting live/staging Supabase read access + A/B test accounts</t>
        </is>
      </c>
    </row>
    <row r="10" ht="43.25" customHeight="1" s="29">
      <c r="A10" s="37" t="inlineStr">
        <is>
          <t>MX-RLS-0008</t>
        </is>
      </c>
      <c r="B10" s="54" t="inlineStr">
        <is>
          <t>P1</t>
        </is>
      </c>
      <c r="C10" s="37" t="inlineStr">
        <is>
          <t>DB+RLS</t>
        </is>
      </c>
      <c r="D10" s="37" t="inlineStr">
        <is>
          <t>concept_attempts — write isolation</t>
        </is>
      </c>
      <c r="E10" s="37" t="inlineStr">
        <is>
          <t>Confirms RLS on 'concept_attempts' prevents one user from WRITING (insert/update/delete) another user's rows. Read-only RLS is not enough: a write gap lets an attacker tamper with someone else's mastery, payments, consent, or reports.</t>
        </is>
      </c>
      <c r="F10" s="37" t="inlineStr">
        <is>
          <t>Two distinct test accounts (A and B) each with rows in this table; their JWTs.</t>
        </is>
      </c>
      <c r="G10" s="37" t="inlineStr">
        <is>
          <t>1) As user A, attempt to UPDATE or DELETE user B's row in 'concept_attempts' by id manipulation. 2) As user A, attempt to INSERT a row into 'concept_attempts' attributed to user B. 3) As anonymous, attempt any write to 'concept_attempts'.</t>
        </is>
      </c>
      <c r="H10" s="37" t="inlineStr">
        <is>
          <t>Every cross-user write is rejected by RLS; anonymous writes blocked; A can only write its own rows.</t>
        </is>
      </c>
      <c r="I10" s="37" t="inlineStr">
        <is>
          <t>SQL results for cross-user update/delete/insert and anon write attempts</t>
        </is>
      </c>
      <c r="J10" s="43" t="inlineStr">
        <is>
          <t>NOT RUN</t>
        </is>
      </c>
      <c r="K10" s="37" t="inlineStr">
        <is>
          <t>Claude (pending env)</t>
        </is>
      </c>
      <c r="L10" s="37" t="n"/>
      <c r="M10" s="37" t="n"/>
      <c r="N10" s="37" t="inlineStr">
        <is>
          <t>[T3 | Phase 3 | Claude (pending env)] parametrized SQL probe via live/staging Supabase. awaiting live/staging Supabase read access + A/B test accounts</t>
        </is>
      </c>
    </row>
    <row r="11" ht="43.25" customHeight="1" s="29">
      <c r="A11" s="36" t="inlineStr">
        <is>
          <t>MX-RLS-0009</t>
        </is>
      </c>
      <c r="B11" s="54" t="inlineStr">
        <is>
          <t>P1</t>
        </is>
      </c>
      <c r="C11" s="36" t="inlineStr">
        <is>
          <t>DB+RLS</t>
        </is>
      </c>
      <c r="D11" s="36" t="inlineStr">
        <is>
          <t>foxy_chat_sessions — read isolation</t>
        </is>
      </c>
      <c r="E11" s="36" t="inlineStr">
        <is>
          <t>Confirms RLS on 'foxy_chat_sessions' prevents one user from READING another user's rows. RLS is the last line of defence against a data leak; a single missing/incorrect policy exposes private student, payment, or consent data.</t>
        </is>
      </c>
      <c r="F11" s="36" t="inlineStr">
        <is>
          <t>Two distinct test accounts (A and B) each with rows in this table; their JWTs.</t>
        </is>
      </c>
      <c r="G11" s="36" t="inlineStr">
        <is>
          <t>1) As user A, query 'foxy_chat_sessions' for A's own rows (should succeed). 2) As user A, attempt to read user B's rows in 'foxy_chat_sessions' by id/filter manipulation. 3) As anonymous, attempt to read 'foxy_chat_sessions'.</t>
        </is>
      </c>
      <c r="H11" s="36" t="inlineStr">
        <is>
          <t>A reads only A's rows; A cannot read B's rows in 'foxy_chat_sessions'; anonymous is blocked. No cross-user leakage.</t>
        </is>
      </c>
      <c r="I11" s="36" t="inlineStr">
        <is>
          <t>SQL results for own-row, cross-user, and anon attempts</t>
        </is>
      </c>
      <c r="J11" s="41" t="inlineStr">
        <is>
          <t>NOT RUN</t>
        </is>
      </c>
      <c r="K11" s="36" t="inlineStr">
        <is>
          <t>Claude (pending env)</t>
        </is>
      </c>
      <c r="L11" s="36" t="n"/>
      <c r="M11" s="36" t="n"/>
      <c r="N11" s="36" t="inlineStr">
        <is>
          <t>[T3 | Phase 3 | Claude (pending env)] parametrized SQL probe via live/staging Supabase. awaiting live/staging Supabase read access + A/B test accounts</t>
        </is>
      </c>
    </row>
    <row r="12" ht="43.25" customHeight="1" s="29">
      <c r="A12" s="37" t="inlineStr">
        <is>
          <t>MX-RLS-0010</t>
        </is>
      </c>
      <c r="B12" s="54" t="inlineStr">
        <is>
          <t>P1</t>
        </is>
      </c>
      <c r="C12" s="37" t="inlineStr">
        <is>
          <t>DB+RLS</t>
        </is>
      </c>
      <c r="D12" s="37" t="inlineStr">
        <is>
          <t>foxy_chat_sessions — write isolation</t>
        </is>
      </c>
      <c r="E12" s="37" t="inlineStr">
        <is>
          <t>Confirms RLS on 'foxy_chat_sessions' prevents one user from WRITING (insert/update/delete) another user's rows. Read-only RLS is not enough: a write gap lets an attacker tamper with someone else's mastery, payments, consent, or reports.</t>
        </is>
      </c>
      <c r="F12" s="37" t="inlineStr">
        <is>
          <t>Two distinct test accounts (A and B) each with rows in this table; their JWTs.</t>
        </is>
      </c>
      <c r="G12" s="37" t="inlineStr">
        <is>
          <t>1) As user A, attempt to UPDATE or DELETE user B's row in 'foxy_chat_sessions' by id manipulation. 2) As user A, attempt to INSERT a row into 'foxy_chat_sessions' attributed to user B. 3) As anonymous, attempt any write to 'foxy_chat_sessions'.</t>
        </is>
      </c>
      <c r="H12" s="37" t="inlineStr">
        <is>
          <t>Every cross-user write is rejected by RLS; anonymous writes blocked; A can only write its own rows.</t>
        </is>
      </c>
      <c r="I12" s="37" t="inlineStr">
        <is>
          <t>SQL results for cross-user update/delete/insert and anon write attempts</t>
        </is>
      </c>
      <c r="J12" s="43" t="inlineStr">
        <is>
          <t>NOT RUN</t>
        </is>
      </c>
      <c r="K12" s="37" t="inlineStr">
        <is>
          <t>Claude (pending env)</t>
        </is>
      </c>
      <c r="L12" s="37" t="n"/>
      <c r="M12" s="37" t="n"/>
      <c r="N12" s="37" t="inlineStr">
        <is>
          <t>[T3 | Phase 3 | Claude (pending env)] parametrized SQL probe via live/staging Supabase. awaiting live/staging Supabase read access + A/B test accounts</t>
        </is>
      </c>
    </row>
    <row r="13" ht="43.25" customHeight="1" s="29">
      <c r="A13" s="36" t="inlineStr">
        <is>
          <t>MX-RLS-0011</t>
        </is>
      </c>
      <c r="B13" s="53" t="inlineStr">
        <is>
          <t>P0</t>
        </is>
      </c>
      <c r="C13" s="36" t="inlineStr">
        <is>
          <t>DB+RLS</t>
        </is>
      </c>
      <c r="D13" s="36" t="inlineStr">
        <is>
          <t>foxy_chat_messages — read isolation</t>
        </is>
      </c>
      <c r="E13" s="36" t="inlineStr">
        <is>
          <t>Confirms RLS on 'foxy_chat_messages' prevents one user from READING another user's rows. RLS is the last line of defence against a data leak; a single missing/incorrect policy exposes private student, payment, or consent data.</t>
        </is>
      </c>
      <c r="F13" s="36" t="inlineStr">
        <is>
          <t>Two distinct test accounts (A and B) each with rows in this table; their JWTs.</t>
        </is>
      </c>
      <c r="G13" s="36" t="inlineStr">
        <is>
          <t>1) As user A, query 'foxy_chat_messages' for A's own rows (should succeed). 2) As user A, attempt to read user B's rows in 'foxy_chat_messages' by id/filter manipulation. 3) As anonymous, attempt to read 'foxy_chat_messages'.</t>
        </is>
      </c>
      <c r="H13" s="36" t="inlineStr">
        <is>
          <t>A reads only A's rows; A cannot read B's rows in 'foxy_chat_messages'; anonymous is blocked. No cross-user leakage.</t>
        </is>
      </c>
      <c r="I13" s="36" t="inlineStr">
        <is>
          <t>SQL results for own-row, cross-user, and anon attempts</t>
        </is>
      </c>
      <c r="J13" s="41" t="inlineStr">
        <is>
          <t>NOT RUN</t>
        </is>
      </c>
      <c r="K13" s="36" t="inlineStr">
        <is>
          <t>Claude (pending env)</t>
        </is>
      </c>
      <c r="L13" s="36" t="n"/>
      <c r="M13" s="36" t="n"/>
      <c r="N13" s="36" t="inlineStr">
        <is>
          <t>[T3 | Phase 3 | Claude (pending env)] parametrized SQL probe via live/staging Supabase. awaiting live/staging Supabase read access + A/B test accounts</t>
        </is>
      </c>
    </row>
    <row r="14" ht="43.25" customHeight="1" s="29">
      <c r="A14" s="37" t="inlineStr">
        <is>
          <t>MX-RLS-0012</t>
        </is>
      </c>
      <c r="B14" s="53" t="inlineStr">
        <is>
          <t>P0</t>
        </is>
      </c>
      <c r="C14" s="37" t="inlineStr">
        <is>
          <t>DB+RLS</t>
        </is>
      </c>
      <c r="D14" s="37" t="inlineStr">
        <is>
          <t>foxy_chat_messages — write isolation</t>
        </is>
      </c>
      <c r="E14" s="37" t="inlineStr">
        <is>
          <t>Confirms RLS on 'foxy_chat_messages' prevents one user from WRITING (insert/update/delete) another user's rows. Read-only RLS is not enough: a write gap lets an attacker tamper with someone else's mastery, payments, consent, or reports.</t>
        </is>
      </c>
      <c r="F14" s="37" t="inlineStr">
        <is>
          <t>Two distinct test accounts (A and B) each with rows in this table; their JWTs.</t>
        </is>
      </c>
      <c r="G14" s="37" t="inlineStr">
        <is>
          <t>1) As user A, attempt to UPDATE or DELETE user B's row in 'foxy_chat_messages' by id manipulation. 2) As user A, attempt to INSERT a row into 'foxy_chat_messages' attributed to user B. 3) As anonymous, attempt any write to 'foxy_chat_messages'.</t>
        </is>
      </c>
      <c r="H14" s="37" t="inlineStr">
        <is>
          <t>Every cross-user write is rejected by RLS; anonymous writes blocked; A can only write its own rows.</t>
        </is>
      </c>
      <c r="I14" s="37" t="inlineStr">
        <is>
          <t>SQL results for cross-user update/delete/insert and anon write attempts</t>
        </is>
      </c>
      <c r="J14" s="43" t="inlineStr">
        <is>
          <t>NOT RUN</t>
        </is>
      </c>
      <c r="K14" s="37" t="inlineStr">
        <is>
          <t>Claude (pending env)</t>
        </is>
      </c>
      <c r="L14" s="37" t="n"/>
      <c r="M14" s="37" t="n"/>
      <c r="N14" s="37" t="inlineStr">
        <is>
          <t>[T3 | Phase 3 | Claude (pending env)] parametrized SQL probe via live/staging Supabase. awaiting live/staging Supabase read access + A/B test accounts</t>
        </is>
      </c>
    </row>
    <row r="15" ht="43.25" customHeight="1" s="29">
      <c r="A15" s="36" t="inlineStr">
        <is>
          <t>MX-RLS-0013</t>
        </is>
      </c>
      <c r="B15" s="54" t="inlineStr">
        <is>
          <t>P1</t>
        </is>
      </c>
      <c r="C15" s="36" t="inlineStr">
        <is>
          <t>DB+RLS</t>
        </is>
      </c>
      <c r="D15" s="36" t="inlineStr">
        <is>
          <t>quiz_sessions — read isolation</t>
        </is>
      </c>
      <c r="E15" s="36" t="inlineStr">
        <is>
          <t>Confirms RLS on 'quiz_sessions' prevents one user from READING another user's rows. RLS is the last line of defence against a data leak; a single missing/incorrect policy exposes private student, payment, or consent data.</t>
        </is>
      </c>
      <c r="F15" s="36" t="inlineStr">
        <is>
          <t>Two distinct test accounts (A and B) each with rows in this table; their JWTs.</t>
        </is>
      </c>
      <c r="G15" s="36" t="inlineStr">
        <is>
          <t>1) As user A, query 'quiz_sessions' for A's own rows (should succeed). 2) As user A, attempt to read user B's rows in 'quiz_sessions' by id/filter manipulation. 3) As anonymous, attempt to read 'quiz_sessions'.</t>
        </is>
      </c>
      <c r="H15" s="36" t="inlineStr">
        <is>
          <t>A reads only A's rows; A cannot read B's rows in 'quiz_sessions'; anonymous is blocked. No cross-user leakage.</t>
        </is>
      </c>
      <c r="I15" s="36" t="inlineStr">
        <is>
          <t>SQL results for own-row, cross-user, and anon attempts</t>
        </is>
      </c>
      <c r="J15" s="41" t="inlineStr">
        <is>
          <t>NOT RUN</t>
        </is>
      </c>
      <c r="K15" s="36" t="inlineStr">
        <is>
          <t>Claude (pending env)</t>
        </is>
      </c>
      <c r="L15" s="36" t="n"/>
      <c r="M15" s="36" t="n"/>
      <c r="N15" s="36" t="inlineStr">
        <is>
          <t>[T3 | Phase 3 | Claude (pending env)] parametrized SQL probe via live/staging Supabase. awaiting live/staging Supabase read access + A/B test accounts</t>
        </is>
      </c>
    </row>
    <row r="16" ht="43.25" customHeight="1" s="29">
      <c r="A16" s="37" t="inlineStr">
        <is>
          <t>MX-RLS-0014</t>
        </is>
      </c>
      <c r="B16" s="54" t="inlineStr">
        <is>
          <t>P1</t>
        </is>
      </c>
      <c r="C16" s="37" t="inlineStr">
        <is>
          <t>DB+RLS</t>
        </is>
      </c>
      <c r="D16" s="37" t="inlineStr">
        <is>
          <t>quiz_sessions — write isolation</t>
        </is>
      </c>
      <c r="E16" s="37" t="inlineStr">
        <is>
          <t>Confirms RLS on 'quiz_sessions' prevents one user from WRITING (insert/update/delete) another user's rows. Read-only RLS is not enough: a write gap lets an attacker tamper with someone else's mastery, payments, consent, or reports.</t>
        </is>
      </c>
      <c r="F16" s="37" t="inlineStr">
        <is>
          <t>Two distinct test accounts (A and B) each with rows in this table; their JWTs.</t>
        </is>
      </c>
      <c r="G16" s="37" t="inlineStr">
        <is>
          <t>1) As user A, attempt to UPDATE or DELETE user B's row in 'quiz_sessions' by id manipulation. 2) As user A, attempt to INSERT a row into 'quiz_sessions' attributed to user B. 3) As anonymous, attempt any write to 'quiz_sessions'.</t>
        </is>
      </c>
      <c r="H16" s="37" t="inlineStr">
        <is>
          <t>Every cross-user write is rejected by RLS; anonymous writes blocked; A can only write its own rows.</t>
        </is>
      </c>
      <c r="I16" s="37" t="inlineStr">
        <is>
          <t>SQL results for cross-user update/delete/insert and anon write attempts</t>
        </is>
      </c>
      <c r="J16" s="43" t="inlineStr">
        <is>
          <t>NOT RUN</t>
        </is>
      </c>
      <c r="K16" s="37" t="inlineStr">
        <is>
          <t>Claude (pending env)</t>
        </is>
      </c>
      <c r="L16" s="37" t="n"/>
      <c r="M16" s="37" t="n"/>
      <c r="N16" s="37" t="inlineStr">
        <is>
          <t>[T3 | Phase 3 | Claude (pending env)] parametrized SQL probe via live/staging Supabase. awaiting live/staging Supabase read access + A/B test accounts</t>
        </is>
      </c>
    </row>
    <row r="17" ht="43.25" customHeight="1" s="29">
      <c r="A17" s="36" t="inlineStr">
        <is>
          <t>MX-RLS-0015</t>
        </is>
      </c>
      <c r="B17" s="53" t="inlineStr">
        <is>
          <t>P0</t>
        </is>
      </c>
      <c r="C17" s="36" t="inlineStr">
        <is>
          <t>DB+RLS</t>
        </is>
      </c>
      <c r="D17" s="36" t="inlineStr">
        <is>
          <t>payment_history — read isolation</t>
        </is>
      </c>
      <c r="E17" s="36" t="inlineStr">
        <is>
          <t>Confirms RLS on 'payment_history' prevents one user from READING another user's rows. RLS is the last line of defence against a data leak; a single missing/incorrect policy exposes private student, payment, or consent data.</t>
        </is>
      </c>
      <c r="F17" s="36" t="inlineStr">
        <is>
          <t>Two distinct test accounts (A and B) each with rows in this table; their JWTs.</t>
        </is>
      </c>
      <c r="G17" s="36" t="inlineStr">
        <is>
          <t>1) As user A, query 'payment_history' for A's own rows (should succeed). 2) As user A, attempt to read user B's rows in 'payment_history' by id/filter manipulation. 3) As anonymous, attempt to read 'payment_history'.</t>
        </is>
      </c>
      <c r="H17" s="36" t="inlineStr">
        <is>
          <t>A reads only A's rows; A cannot read B's rows in 'payment_history'; anonymous is blocked. No cross-user leakage.</t>
        </is>
      </c>
      <c r="I17" s="36" t="inlineStr">
        <is>
          <t>SQL results for own-row, cross-user, and anon attempts</t>
        </is>
      </c>
      <c r="J17" s="41" t="inlineStr">
        <is>
          <t>NOT RUN</t>
        </is>
      </c>
      <c r="K17" s="36" t="inlineStr">
        <is>
          <t>Claude (pending env)</t>
        </is>
      </c>
      <c r="L17" s="36" t="n"/>
      <c r="M17" s="36" t="n"/>
      <c r="N17" s="36" t="inlineStr">
        <is>
          <t>[T3 | Phase 3 | Claude (pending env)] parametrized SQL probe via live/staging Supabase. awaiting live/staging Supabase read access + A/B test accounts</t>
        </is>
      </c>
    </row>
    <row r="18" ht="43.25" customHeight="1" s="29">
      <c r="A18" s="37" t="inlineStr">
        <is>
          <t>MX-RLS-0016</t>
        </is>
      </c>
      <c r="B18" s="53" t="inlineStr">
        <is>
          <t>P0</t>
        </is>
      </c>
      <c r="C18" s="37" t="inlineStr">
        <is>
          <t>DB+RLS</t>
        </is>
      </c>
      <c r="D18" s="37" t="inlineStr">
        <is>
          <t>payment_history — write isolation</t>
        </is>
      </c>
      <c r="E18" s="37" t="inlineStr">
        <is>
          <t>Confirms RLS on 'payment_history' prevents one user from WRITING (insert/update/delete) another user's rows. Read-only RLS is not enough: a write gap lets an attacker tamper with someone else's mastery, payments, consent, or reports.</t>
        </is>
      </c>
      <c r="F18" s="37" t="inlineStr">
        <is>
          <t>Two distinct test accounts (A and B) each with rows in this table; their JWTs.</t>
        </is>
      </c>
      <c r="G18" s="37" t="inlineStr">
        <is>
          <t>1) As user A, attempt to UPDATE or DELETE user B's row in 'payment_history' by id manipulation. 2) As user A, attempt to INSERT a row into 'payment_history' attributed to user B. 3) As anonymous, attempt any write to 'payment_history'.</t>
        </is>
      </c>
      <c r="H18" s="37" t="inlineStr">
        <is>
          <t>Every cross-user write is rejected by RLS; anonymous writes blocked; A can only write its own rows.</t>
        </is>
      </c>
      <c r="I18" s="37" t="inlineStr">
        <is>
          <t>SQL results for cross-user update/delete/insert and anon write attempts</t>
        </is>
      </c>
      <c r="J18" s="43" t="inlineStr">
        <is>
          <t>NOT RUN</t>
        </is>
      </c>
      <c r="K18" s="37" t="inlineStr">
        <is>
          <t>Claude (pending env)</t>
        </is>
      </c>
      <c r="L18" s="37" t="n"/>
      <c r="M18" s="37" t="n"/>
      <c r="N18" s="37" t="inlineStr">
        <is>
          <t>[T3 | Phase 3 | Claude (pending env)] parametrized SQL probe via live/staging Supabase. awaiting live/staging Supabase read access + A/B test accounts</t>
        </is>
      </c>
    </row>
    <row r="19" ht="43.25" customHeight="1" s="29">
      <c r="A19" s="36" t="inlineStr">
        <is>
          <t>MX-RLS-0017</t>
        </is>
      </c>
      <c r="B19" s="53" t="inlineStr">
        <is>
          <t>P0</t>
        </is>
      </c>
      <c r="C19" s="36" t="inlineStr">
        <is>
          <t>DB+RLS</t>
        </is>
      </c>
      <c r="D19" s="36" t="inlineStr">
        <is>
          <t>student_subscriptions — read isolation</t>
        </is>
      </c>
      <c r="E19" s="36" t="inlineStr">
        <is>
          <t>Confirms RLS on 'student_subscriptions' prevents one user from READING another user's rows. RLS is the last line of defence against a data leak; a single missing/incorrect policy exposes private student, payment, or consent data.</t>
        </is>
      </c>
      <c r="F19" s="36" t="inlineStr">
        <is>
          <t>Two distinct test accounts (A and B) each with rows in this table; their JWTs.</t>
        </is>
      </c>
      <c r="G19" s="36" t="inlineStr">
        <is>
          <t>1) As user A, query 'student_subscriptions' for A's own rows (should succeed). 2) As user A, attempt to read user B's rows in 'student_subscriptions' by id/filter manipulation. 3) As anonymous, attempt to read 'student_subscriptions'.</t>
        </is>
      </c>
      <c r="H19" s="36" t="inlineStr">
        <is>
          <t>A reads only A's rows; A cannot read B's rows in 'student_subscriptions'; anonymous is blocked. No cross-user leakage.</t>
        </is>
      </c>
      <c r="I19" s="36" t="inlineStr">
        <is>
          <t>SQL results for own-row, cross-user, and anon attempts</t>
        </is>
      </c>
      <c r="J19" s="41" t="inlineStr">
        <is>
          <t>NOT RUN</t>
        </is>
      </c>
      <c r="K19" s="36" t="inlineStr">
        <is>
          <t>Claude (pending env)</t>
        </is>
      </c>
      <c r="L19" s="36" t="n"/>
      <c r="M19" s="36" t="n"/>
      <c r="N19" s="36" t="inlineStr">
        <is>
          <t>[T3 | Phase 3 | Claude (pending env)] parametrized SQL probe via live/staging Supabase. awaiting live/staging Supabase read access + A/B test accounts</t>
        </is>
      </c>
    </row>
    <row r="20" ht="53.7" customHeight="1" s="29">
      <c r="A20" s="37" t="inlineStr">
        <is>
          <t>MX-RLS-0018</t>
        </is>
      </c>
      <c r="B20" s="53" t="inlineStr">
        <is>
          <t>P0</t>
        </is>
      </c>
      <c r="C20" s="37" t="inlineStr">
        <is>
          <t>DB+RLS</t>
        </is>
      </c>
      <c r="D20" s="37" t="inlineStr">
        <is>
          <t>student_subscriptions — write isolation</t>
        </is>
      </c>
      <c r="E20" s="37" t="inlineStr">
        <is>
          <t>Confirms RLS on 'student_subscriptions' prevents one user from WRITING (insert/update/delete) another user's rows. Read-only RLS is not enough: a write gap lets an attacker tamper with someone else's mastery, payments, consent, or reports.</t>
        </is>
      </c>
      <c r="F20" s="37" t="inlineStr">
        <is>
          <t>Two distinct test accounts (A and B) each with rows in this table; their JWTs.</t>
        </is>
      </c>
      <c r="G20" s="37" t="inlineStr">
        <is>
          <t>1) As user A, attempt to UPDATE or DELETE user B's row in 'student_subscriptions' by id manipulation. 2) As user A, attempt to INSERT a row into 'student_subscriptions' attributed to user B. 3) As anonymous, attempt any write to 'student_subscriptions'.</t>
        </is>
      </c>
      <c r="H20" s="37" t="inlineStr">
        <is>
          <t>Every cross-user write is rejected by RLS; anonymous writes blocked; A can only write its own rows.</t>
        </is>
      </c>
      <c r="I20" s="37" t="inlineStr">
        <is>
          <t>SQL results for cross-user update/delete/insert and anon write attempts</t>
        </is>
      </c>
      <c r="J20" s="43" t="inlineStr">
        <is>
          <t>NOT RUN</t>
        </is>
      </c>
      <c r="K20" s="37" t="inlineStr">
        <is>
          <t>Claude (pending env)</t>
        </is>
      </c>
      <c r="L20" s="37" t="n"/>
      <c r="M20" s="37" t="n"/>
      <c r="N20" s="37" t="inlineStr">
        <is>
          <t>[T3 | Phase 3 | Claude (pending env)] parametrized SQL probe via live/staging Supabase. awaiting live/staging Supabase read access + A/B test accounts</t>
        </is>
      </c>
    </row>
    <row r="21" ht="43.25" customHeight="1" s="29">
      <c r="A21" s="36" t="inlineStr">
        <is>
          <t>MX-RLS-0019</t>
        </is>
      </c>
      <c r="B21" s="53" t="inlineStr">
        <is>
          <t>P0</t>
        </is>
      </c>
      <c r="C21" s="36" t="inlineStr">
        <is>
          <t>DB+RLS</t>
        </is>
      </c>
      <c r="D21" s="36" t="inlineStr">
        <is>
          <t>parental_consent — read isolation</t>
        </is>
      </c>
      <c r="E21" s="36" t="inlineStr">
        <is>
          <t>Confirms RLS on 'parental_consent' prevents one user from READING another user's rows. RLS is the last line of defence against a data leak; a single missing/incorrect policy exposes private student, payment, or consent data.</t>
        </is>
      </c>
      <c r="F21" s="36" t="inlineStr">
        <is>
          <t>Two distinct test accounts (A and B) each with rows in this table; their JWTs.</t>
        </is>
      </c>
      <c r="G21" s="36" t="inlineStr">
        <is>
          <t>1) As user A, query 'parental_consent' for A's own rows (should succeed). 2) As user A, attempt to read user B's rows in 'parental_consent' by id/filter manipulation. 3) As anonymous, attempt to read 'parental_consent'.</t>
        </is>
      </c>
      <c r="H21" s="36" t="inlineStr">
        <is>
          <t>A reads only A's rows; A cannot read B's rows in 'parental_consent'; anonymous is blocked. No cross-user leakage.</t>
        </is>
      </c>
      <c r="I21" s="36" t="inlineStr">
        <is>
          <t>SQL results for own-row, cross-user, and anon attempts</t>
        </is>
      </c>
      <c r="J21" s="41" t="inlineStr">
        <is>
          <t>NOT RUN</t>
        </is>
      </c>
      <c r="K21" s="36" t="inlineStr">
        <is>
          <t>Claude (pending env)</t>
        </is>
      </c>
      <c r="L21" s="36" t="n"/>
      <c r="M21" s="36" t="n"/>
      <c r="N21" s="36" t="inlineStr">
        <is>
          <t>[T3 | Phase 3 | Claude (pending env)] parametrized SQL probe via live/staging Supabase. awaiting live/staging Supabase read access + A/B test accounts</t>
        </is>
      </c>
    </row>
    <row r="22" ht="43.25" customHeight="1" s="29">
      <c r="A22" s="37" t="inlineStr">
        <is>
          <t>MX-RLS-0020</t>
        </is>
      </c>
      <c r="B22" s="53" t="inlineStr">
        <is>
          <t>P0</t>
        </is>
      </c>
      <c r="C22" s="37" t="inlineStr">
        <is>
          <t>DB+RLS</t>
        </is>
      </c>
      <c r="D22" s="37" t="inlineStr">
        <is>
          <t>parental_consent — write isolation</t>
        </is>
      </c>
      <c r="E22" s="37" t="inlineStr">
        <is>
          <t>Confirms RLS on 'parental_consent' prevents one user from WRITING (insert/update/delete) another user's rows. Read-only RLS is not enough: a write gap lets an attacker tamper with someone else's mastery, payments, consent, or reports.</t>
        </is>
      </c>
      <c r="F22" s="37" t="inlineStr">
        <is>
          <t>Two distinct test accounts (A and B) each with rows in this table; their JWTs.</t>
        </is>
      </c>
      <c r="G22" s="37" t="inlineStr">
        <is>
          <t>1) As user A, attempt to UPDATE or DELETE user B's row in 'parental_consent' by id manipulation. 2) As user A, attempt to INSERT a row into 'parental_consent' attributed to user B. 3) As anonymous, attempt any write to 'parental_consent'.</t>
        </is>
      </c>
      <c r="H22" s="37" t="inlineStr">
        <is>
          <t>Every cross-user write is rejected by RLS; anonymous writes blocked; A can only write its own rows.</t>
        </is>
      </c>
      <c r="I22" s="37" t="inlineStr">
        <is>
          <t>SQL results for cross-user update/delete/insert and anon write attempts</t>
        </is>
      </c>
      <c r="J22" s="43" t="inlineStr">
        <is>
          <t>NOT RUN</t>
        </is>
      </c>
      <c r="K22" s="37" t="inlineStr">
        <is>
          <t>Claude (pending env)</t>
        </is>
      </c>
      <c r="L22" s="37" t="n"/>
      <c r="M22" s="37" t="n"/>
      <c r="N22" s="37" t="inlineStr">
        <is>
          <t>[T3 | Phase 3 | Claude (pending env)] parametrized SQL probe via live/staging Supabase. awaiting live/staging Supabase read access + A/B test accounts</t>
        </is>
      </c>
    </row>
    <row r="23" ht="43.25" customHeight="1" s="29">
      <c r="A23" s="36" t="inlineStr">
        <is>
          <t>MX-RLS-0021</t>
        </is>
      </c>
      <c r="B23" s="53" t="inlineStr">
        <is>
          <t>P0</t>
        </is>
      </c>
      <c r="C23" s="36" t="inlineStr">
        <is>
          <t>DB+RLS</t>
        </is>
      </c>
      <c r="D23" s="36" t="inlineStr">
        <is>
          <t>guardian_student_links — read isolation</t>
        </is>
      </c>
      <c r="E23" s="36" t="inlineStr">
        <is>
          <t>Confirms RLS on 'guardian_student_links' prevents one user from READING another user's rows. RLS is the last line of defence against a data leak; a single missing/incorrect policy exposes private student, payment, or consent data.</t>
        </is>
      </c>
      <c r="F23" s="36" t="inlineStr">
        <is>
          <t>Two distinct test accounts (A and B) each with rows in this table; their JWTs.</t>
        </is>
      </c>
      <c r="G23" s="36" t="inlineStr">
        <is>
          <t>1) As user A, query 'guardian_student_links' for A's own rows (should succeed). 2) As user A, attempt to read user B's rows in 'guardian_student_links' by id/filter manipulation. 3) As anonymous, attempt to read 'guardian_student_links'.</t>
        </is>
      </c>
      <c r="H23" s="36" t="inlineStr">
        <is>
          <t>A reads only A's rows; A cannot read B's rows in 'guardian_student_links'; anonymous is blocked. No cross-user leakage.</t>
        </is>
      </c>
      <c r="I23" s="36" t="inlineStr">
        <is>
          <t>SQL results for own-row, cross-user, and anon attempts</t>
        </is>
      </c>
      <c r="J23" s="41" t="inlineStr">
        <is>
          <t>NOT RUN</t>
        </is>
      </c>
      <c r="K23" s="36" t="inlineStr">
        <is>
          <t>Claude (pending env)</t>
        </is>
      </c>
      <c r="L23" s="36" t="n"/>
      <c r="M23" s="36" t="n"/>
      <c r="N23" s="36" t="inlineStr">
        <is>
          <t>[T3 | Phase 3 | Claude (pending env)] parametrized SQL probe via live/staging Supabase. awaiting live/staging Supabase read access + A/B test accounts</t>
        </is>
      </c>
    </row>
    <row r="24" ht="53.7" customHeight="1" s="29">
      <c r="A24" s="37" t="inlineStr">
        <is>
          <t>MX-RLS-0022</t>
        </is>
      </c>
      <c r="B24" s="53" t="inlineStr">
        <is>
          <t>P0</t>
        </is>
      </c>
      <c r="C24" s="37" t="inlineStr">
        <is>
          <t>DB+RLS</t>
        </is>
      </c>
      <c r="D24" s="37" t="inlineStr">
        <is>
          <t>guardian_student_links — write isolation</t>
        </is>
      </c>
      <c r="E24" s="37" t="inlineStr">
        <is>
          <t>Confirms RLS on 'guardian_student_links' prevents one user from WRITING (insert/update/delete) another user's rows. Read-only RLS is not enough: a write gap lets an attacker tamper with someone else's mastery, payments, consent, or reports.</t>
        </is>
      </c>
      <c r="F24" s="37" t="inlineStr">
        <is>
          <t>Two distinct test accounts (A and B) each with rows in this table; their JWTs.</t>
        </is>
      </c>
      <c r="G24" s="37" t="inlineStr">
        <is>
          <t>1) As user A, attempt to UPDATE or DELETE user B's row in 'guardian_student_links' by id manipulation. 2) As user A, attempt to INSERT a row into 'guardian_student_links' attributed to user B. 3) As anonymous, attempt any write to 'guardian_student_links'.</t>
        </is>
      </c>
      <c r="H24" s="37" t="inlineStr">
        <is>
          <t>Every cross-user write is rejected by RLS; anonymous writes blocked; A can only write its own rows.</t>
        </is>
      </c>
      <c r="I24" s="37" t="inlineStr">
        <is>
          <t>SQL results for cross-user update/delete/insert and anon write attempts</t>
        </is>
      </c>
      <c r="J24" s="43" t="inlineStr">
        <is>
          <t>NOT RUN</t>
        </is>
      </c>
      <c r="K24" s="37" t="inlineStr">
        <is>
          <t>Claude (pending env)</t>
        </is>
      </c>
      <c r="L24" s="37" t="n"/>
      <c r="M24" s="37" t="n"/>
      <c r="N24" s="37" t="inlineStr">
        <is>
          <t>[T3 | Phase 3 | Claude (pending env)] parametrized SQL probe via live/staging Supabase. awaiting live/staging Supabase read access + A/B test accounts</t>
        </is>
      </c>
    </row>
    <row r="25" ht="43.25" customHeight="1" s="29">
      <c r="A25" s="36" t="inlineStr">
        <is>
          <t>MX-RLS-0023</t>
        </is>
      </c>
      <c r="B25" s="54" t="inlineStr">
        <is>
          <t>P1</t>
        </is>
      </c>
      <c r="C25" s="36" t="inlineStr">
        <is>
          <t>DB+RLS</t>
        </is>
      </c>
      <c r="D25" s="36" t="inlineStr">
        <is>
          <t>parent_weekly_reports — read isolation</t>
        </is>
      </c>
      <c r="E25" s="36" t="inlineStr">
        <is>
          <t>Confirms RLS on 'parent_weekly_reports' prevents one user from READING another user's rows. RLS is the last line of defence against a data leak; a single missing/incorrect policy exposes private student, payment, or consent data.</t>
        </is>
      </c>
      <c r="F25" s="36" t="inlineStr">
        <is>
          <t>Two distinct test accounts (A and B) each with rows in this table; their JWTs.</t>
        </is>
      </c>
      <c r="G25" s="36" t="inlineStr">
        <is>
          <t>1) As user A, query 'parent_weekly_reports' for A's own rows (should succeed). 2) As user A, attempt to read user B's rows in 'parent_weekly_reports' by id/filter manipulation. 3) As anonymous, attempt to read 'parent_weekly_reports'.</t>
        </is>
      </c>
      <c r="H25" s="36" t="inlineStr">
        <is>
          <t>A reads only A's rows; A cannot read B's rows in 'parent_weekly_reports'; anonymous is blocked. No cross-user leakage.</t>
        </is>
      </c>
      <c r="I25" s="36" t="inlineStr">
        <is>
          <t>SQL results for own-row, cross-user, and anon attempts</t>
        </is>
      </c>
      <c r="J25" s="41" t="inlineStr">
        <is>
          <t>NOT RUN</t>
        </is>
      </c>
      <c r="K25" s="36" t="inlineStr">
        <is>
          <t>Claude (pending env)</t>
        </is>
      </c>
      <c r="L25" s="36" t="n"/>
      <c r="M25" s="36" t="n"/>
      <c r="N25" s="36" t="inlineStr">
        <is>
          <t>[T3 | Phase 3 | Claude (pending env)] parametrized SQL probe via live/staging Supabase. awaiting live/staging Supabase read access + A/B test accounts</t>
        </is>
      </c>
    </row>
    <row r="26" ht="53.7" customHeight="1" s="29">
      <c r="A26" s="37" t="inlineStr">
        <is>
          <t>MX-RLS-0024</t>
        </is>
      </c>
      <c r="B26" s="54" t="inlineStr">
        <is>
          <t>P1</t>
        </is>
      </c>
      <c r="C26" s="37" t="inlineStr">
        <is>
          <t>DB+RLS</t>
        </is>
      </c>
      <c r="D26" s="37" t="inlineStr">
        <is>
          <t>parent_weekly_reports — write isolation</t>
        </is>
      </c>
      <c r="E26" s="37" t="inlineStr">
        <is>
          <t>Confirms RLS on 'parent_weekly_reports' prevents one user from WRITING (insert/update/delete) another user's rows. Read-only RLS is not enough: a write gap lets an attacker tamper with someone else's mastery, payments, consent, or reports.</t>
        </is>
      </c>
      <c r="F26" s="37" t="inlineStr">
        <is>
          <t>Two distinct test accounts (A and B) each with rows in this table; their JWTs.</t>
        </is>
      </c>
      <c r="G26" s="37" t="inlineStr">
        <is>
          <t>1) As user A, attempt to UPDATE or DELETE user B's row in 'parent_weekly_reports' by id manipulation. 2) As user A, attempt to INSERT a row into 'parent_weekly_reports' attributed to user B. 3) As anonymous, attempt any write to 'parent_weekly_reports'.</t>
        </is>
      </c>
      <c r="H26" s="37" t="inlineStr">
        <is>
          <t>Every cross-user write is rejected by RLS; anonymous writes blocked; A can only write its own rows.</t>
        </is>
      </c>
      <c r="I26" s="37" t="inlineStr">
        <is>
          <t>SQL results for cross-user update/delete/insert and anon write attempts</t>
        </is>
      </c>
      <c r="J26" s="43" t="inlineStr">
        <is>
          <t>NOT RUN</t>
        </is>
      </c>
      <c r="K26" s="37" t="inlineStr">
        <is>
          <t>Claude (pending env)</t>
        </is>
      </c>
      <c r="L26" s="37" t="n"/>
      <c r="M26" s="37" t="n"/>
      <c r="N26" s="37" t="inlineStr">
        <is>
          <t>[T3 | Phase 3 | Claude (pending env)] parametrized SQL probe via live/staging Supabase. awaiting live/staging Supabase read access + A/B test accounts</t>
        </is>
      </c>
    </row>
    <row r="27" ht="43.25" customHeight="1" s="29">
      <c r="A27" s="36" t="inlineStr">
        <is>
          <t>MX-RLS-0025</t>
        </is>
      </c>
      <c r="B27" s="54" t="inlineStr">
        <is>
          <t>P1</t>
        </is>
      </c>
      <c r="C27" s="36" t="inlineStr">
        <is>
          <t>DB+RLS</t>
        </is>
      </c>
      <c r="D27" s="36" t="inlineStr">
        <is>
          <t>scheduled_actions — read isolation</t>
        </is>
      </c>
      <c r="E27" s="36" t="inlineStr">
        <is>
          <t>Confirms RLS on 'scheduled_actions' prevents one user from READING another user's rows. RLS is the last line of defence against a data leak; a single missing/incorrect policy exposes private student, payment, or consent data.</t>
        </is>
      </c>
      <c r="F27" s="36" t="inlineStr">
        <is>
          <t>Two distinct test accounts (A and B) each with rows in this table; their JWTs.</t>
        </is>
      </c>
      <c r="G27" s="36" t="inlineStr">
        <is>
          <t>1) As user A, query 'scheduled_actions' for A's own rows (should succeed). 2) As user A, attempt to read user B's rows in 'scheduled_actions' by id/filter manipulation. 3) As anonymous, attempt to read 'scheduled_actions'.</t>
        </is>
      </c>
      <c r="H27" s="36" t="inlineStr">
        <is>
          <t>A reads only A's rows; A cannot read B's rows in 'scheduled_actions'; anonymous is blocked. No cross-user leakage.</t>
        </is>
      </c>
      <c r="I27" s="36" t="inlineStr">
        <is>
          <t>SQL results for own-row, cross-user, and anon attempts</t>
        </is>
      </c>
      <c r="J27" s="41" t="inlineStr">
        <is>
          <t>NOT RUN</t>
        </is>
      </c>
      <c r="K27" s="36" t="inlineStr">
        <is>
          <t>Claude (pending env)</t>
        </is>
      </c>
      <c r="L27" s="36" t="n"/>
      <c r="M27" s="36" t="n"/>
      <c r="N27" s="36" t="inlineStr">
        <is>
          <t>[T3 | Phase 3 | Claude (pending env)] parametrized SQL probe via live/staging Supabase. awaiting live/staging Supabase read access + A/B test accounts</t>
        </is>
      </c>
    </row>
    <row r="28" ht="43.25" customHeight="1" s="29">
      <c r="A28" s="37" t="inlineStr">
        <is>
          <t>MX-RLS-0026</t>
        </is>
      </c>
      <c r="B28" s="54" t="inlineStr">
        <is>
          <t>P1</t>
        </is>
      </c>
      <c r="C28" s="37" t="inlineStr">
        <is>
          <t>DB+RLS</t>
        </is>
      </c>
      <c r="D28" s="37" t="inlineStr">
        <is>
          <t>scheduled_actions — write isolation</t>
        </is>
      </c>
      <c r="E28" s="37" t="inlineStr">
        <is>
          <t>Confirms RLS on 'scheduled_actions' prevents one user from WRITING (insert/update/delete) another user's rows. Read-only RLS is not enough: a write gap lets an attacker tamper with someone else's mastery, payments, consent, or reports.</t>
        </is>
      </c>
      <c r="F28" s="37" t="inlineStr">
        <is>
          <t>Two distinct test accounts (A and B) each with rows in this table; their JWTs.</t>
        </is>
      </c>
      <c r="G28" s="37" t="inlineStr">
        <is>
          <t>1) As user A, attempt to UPDATE or DELETE user B's row in 'scheduled_actions' by id manipulation. 2) As user A, attempt to INSERT a row into 'scheduled_actions' attributed to user B. 3) As anonymous, attempt any write to 'scheduled_actions'.</t>
        </is>
      </c>
      <c r="H28" s="37" t="inlineStr">
        <is>
          <t>Every cross-user write is rejected by RLS; anonymous writes blocked; A can only write its own rows.</t>
        </is>
      </c>
      <c r="I28" s="37" t="inlineStr">
        <is>
          <t>SQL results for cross-user update/delete/insert and anon write attempts</t>
        </is>
      </c>
      <c r="J28" s="43" t="inlineStr">
        <is>
          <t>NOT RUN</t>
        </is>
      </c>
      <c r="K28" s="37" t="inlineStr">
        <is>
          <t>Claude (pending env)</t>
        </is>
      </c>
      <c r="L28" s="37" t="n"/>
      <c r="M28" s="37" t="n"/>
      <c r="N28" s="37" t="inlineStr">
        <is>
          <t>[T3 | Phase 3 | Claude (pending env)] parametrized SQL probe via live/staging Supabase. awaiting live/staging Supabase read access + A/B test accounts</t>
        </is>
      </c>
    </row>
    <row r="29" ht="43.25" customHeight="1" s="29">
      <c r="A29" s="36" t="inlineStr">
        <is>
          <t>MX-RLS-0027</t>
        </is>
      </c>
      <c r="B29" s="54" t="inlineStr">
        <is>
          <t>P1</t>
        </is>
      </c>
      <c r="C29" s="36" t="inlineStr">
        <is>
          <t>DB+RLS</t>
        </is>
      </c>
      <c r="D29" s="36" t="inlineStr">
        <is>
          <t>xp_transactions — read isolation</t>
        </is>
      </c>
      <c r="E29" s="36" t="inlineStr">
        <is>
          <t>Confirms RLS on 'xp_transactions' prevents one user from READING another user's rows. RLS is the last line of defence against a data leak; a single missing/incorrect policy exposes private student, payment, or consent data.</t>
        </is>
      </c>
      <c r="F29" s="36" t="inlineStr">
        <is>
          <t>Two distinct test accounts (A and B) each with rows in this table; their JWTs.</t>
        </is>
      </c>
      <c r="G29" s="36" t="inlineStr">
        <is>
          <t>1) As user A, query 'xp_transactions' for A's own rows (should succeed). 2) As user A, attempt to read user B's rows in 'xp_transactions' by id/filter manipulation. 3) As anonymous, attempt to read 'xp_transactions'.</t>
        </is>
      </c>
      <c r="H29" s="36" t="inlineStr">
        <is>
          <t>A reads only A's rows; A cannot read B's rows in 'xp_transactions'; anonymous is blocked. No cross-user leakage.</t>
        </is>
      </c>
      <c r="I29" s="36" t="inlineStr">
        <is>
          <t>SQL results for own-row, cross-user, and anon attempts</t>
        </is>
      </c>
      <c r="J29" s="41" t="inlineStr">
        <is>
          <t>NOT RUN</t>
        </is>
      </c>
      <c r="K29" s="36" t="inlineStr">
        <is>
          <t>Claude (pending env)</t>
        </is>
      </c>
      <c r="L29" s="36" t="n"/>
      <c r="M29" s="36" t="n"/>
      <c r="N29" s="36" t="inlineStr">
        <is>
          <t>[T3 | Phase 3 | Claude (pending env)] parametrized SQL probe via live/staging Supabase. awaiting live/staging Supabase read access + A/B test accounts</t>
        </is>
      </c>
    </row>
    <row r="30" ht="43.25" customHeight="1" s="29">
      <c r="A30" s="37" t="inlineStr">
        <is>
          <t>MX-RLS-0028</t>
        </is>
      </c>
      <c r="B30" s="54" t="inlineStr">
        <is>
          <t>P1</t>
        </is>
      </c>
      <c r="C30" s="37" t="inlineStr">
        <is>
          <t>DB+RLS</t>
        </is>
      </c>
      <c r="D30" s="37" t="inlineStr">
        <is>
          <t>xp_transactions — write isolation</t>
        </is>
      </c>
      <c r="E30" s="37" t="inlineStr">
        <is>
          <t>Confirms RLS on 'xp_transactions' prevents one user from WRITING (insert/update/delete) another user's rows. Read-only RLS is not enough: a write gap lets an attacker tamper with someone else's mastery, payments, consent, or reports.</t>
        </is>
      </c>
      <c r="F30" s="37" t="inlineStr">
        <is>
          <t>Two distinct test accounts (A and B) each with rows in this table; their JWTs.</t>
        </is>
      </c>
      <c r="G30" s="37" t="inlineStr">
        <is>
          <t>1) As user A, attempt to UPDATE or DELETE user B's row in 'xp_transactions' by id manipulation. 2) As user A, attempt to INSERT a row into 'xp_transactions' attributed to user B. 3) As anonymous, attempt any write to 'xp_transactions'.</t>
        </is>
      </c>
      <c r="H30" s="37" t="inlineStr">
        <is>
          <t>Every cross-user write is rejected by RLS; anonymous writes blocked; A can only write its own rows.</t>
        </is>
      </c>
      <c r="I30" s="37" t="inlineStr">
        <is>
          <t>SQL results for cross-user update/delete/insert and anon write attempts</t>
        </is>
      </c>
      <c r="J30" s="43" t="inlineStr">
        <is>
          <t>NOT RUN</t>
        </is>
      </c>
      <c r="K30" s="37" t="inlineStr">
        <is>
          <t>Claude (pending env)</t>
        </is>
      </c>
      <c r="L30" s="37" t="n"/>
      <c r="M30" s="37" t="n"/>
      <c r="N30" s="37" t="inlineStr">
        <is>
          <t>[T3 | Phase 3 | Claude (pending env)] parametrized SQL probe via live/staging Supabase. awaiting live/staging Supabase read access + A/B test accounts</t>
        </is>
      </c>
    </row>
    <row r="31" ht="43.25" customHeight="1" s="29">
      <c r="A31" s="36" t="inlineStr">
        <is>
          <t>MX-RLS-0029</t>
        </is>
      </c>
      <c r="B31" s="54" t="inlineStr">
        <is>
          <t>P1</t>
        </is>
      </c>
      <c r="C31" s="36" t="inlineStr">
        <is>
          <t>DB+RLS</t>
        </is>
      </c>
      <c r="D31" s="36" t="inlineStr">
        <is>
          <t>user_active_sessions — read isolation</t>
        </is>
      </c>
      <c r="E31" s="36" t="inlineStr">
        <is>
          <t>Confirms RLS on 'user_active_sessions' prevents one user from READING another user's rows. RLS is the last line of defence against a data leak; a single missing/incorrect policy exposes private student, payment, or consent data.</t>
        </is>
      </c>
      <c r="F31" s="36" t="inlineStr">
        <is>
          <t>Two distinct test accounts (A and B) each with rows in this table; their JWTs.</t>
        </is>
      </c>
      <c r="G31" s="36" t="inlineStr">
        <is>
          <t>1) As user A, query 'user_active_sessions' for A's own rows (should succeed). 2) As user A, attempt to read user B's rows in 'user_active_sessions' by id/filter manipulation. 3) As anonymous, attempt to read 'user_active_sessions'.</t>
        </is>
      </c>
      <c r="H31" s="36" t="inlineStr">
        <is>
          <t>A reads only A's rows; A cannot read B's rows in 'user_active_sessions'; anonymous is blocked. No cross-user leakage.</t>
        </is>
      </c>
      <c r="I31" s="36" t="inlineStr">
        <is>
          <t>SQL results for own-row, cross-user, and anon attempts</t>
        </is>
      </c>
      <c r="J31" s="41" t="inlineStr">
        <is>
          <t>NOT RUN</t>
        </is>
      </c>
      <c r="K31" s="36" t="inlineStr">
        <is>
          <t>Claude (pending env)</t>
        </is>
      </c>
      <c r="L31" s="36" t="n"/>
      <c r="M31" s="36" t="n"/>
      <c r="N31" s="36" t="inlineStr">
        <is>
          <t>[T3 | Phase 3 | Claude (pending env)] parametrized SQL probe via live/staging Supabase. awaiting live/staging Supabase read access + A/B test accounts</t>
        </is>
      </c>
    </row>
    <row r="32" ht="43.25" customHeight="1" s="29">
      <c r="A32" s="37" t="inlineStr">
        <is>
          <t>MX-RLS-0030</t>
        </is>
      </c>
      <c r="B32" s="54" t="inlineStr">
        <is>
          <t>P1</t>
        </is>
      </c>
      <c r="C32" s="37" t="inlineStr">
        <is>
          <t>DB+RLS</t>
        </is>
      </c>
      <c r="D32" s="37" t="inlineStr">
        <is>
          <t>user_active_sessions — write isolation</t>
        </is>
      </c>
      <c r="E32" s="37" t="inlineStr">
        <is>
          <t>Confirms RLS on 'user_active_sessions' prevents one user from WRITING (insert/update/delete) another user's rows. Read-only RLS is not enough: a write gap lets an attacker tamper with someone else's mastery, payments, consent, or reports.</t>
        </is>
      </c>
      <c r="F32" s="37" t="inlineStr">
        <is>
          <t>Two distinct test accounts (A and B) each with rows in this table; their JWTs.</t>
        </is>
      </c>
      <c r="G32" s="37" t="inlineStr">
        <is>
          <t>1) As user A, attempt to UPDATE or DELETE user B's row in 'user_active_sessions' by id manipulation. 2) As user A, attempt to INSERT a row into 'user_active_sessions' attributed to user B. 3) As anonymous, attempt any write to 'user_active_sessions'.</t>
        </is>
      </c>
      <c r="H32" s="37" t="inlineStr">
        <is>
          <t>Every cross-user write is rejected by RLS; anonymous writes blocked; A can only write its own rows.</t>
        </is>
      </c>
      <c r="I32" s="37" t="inlineStr">
        <is>
          <t>SQL results for cross-user update/delete/insert and anon write attempts</t>
        </is>
      </c>
      <c r="J32" s="43" t="inlineStr">
        <is>
          <t>NOT RUN</t>
        </is>
      </c>
      <c r="K32" s="37" t="inlineStr">
        <is>
          <t>Claude (pending env)</t>
        </is>
      </c>
      <c r="L32" s="37" t="n"/>
      <c r="M32" s="37" t="n"/>
      <c r="N32" s="37" t="inlineStr">
        <is>
          <t>[T3 | Phase 3 | Claude (pending env)] parametrized SQL probe via live/staging Supabase. awaiting live/staging Supabase read access + A/B test accounts</t>
        </is>
      </c>
    </row>
    <row r="33" ht="43.25" customHeight="1" s="29">
      <c r="A33" s="36" t="inlineStr">
        <is>
          <t>MX-RLS-0031</t>
        </is>
      </c>
      <c r="B33" s="54" t="inlineStr">
        <is>
          <t>P1</t>
        </is>
      </c>
      <c r="C33" s="36" t="inlineStr">
        <is>
          <t>DB+RLS</t>
        </is>
      </c>
      <c r="D33" s="36" t="inlineStr">
        <is>
          <t>notification_channels — read isolation</t>
        </is>
      </c>
      <c r="E33" s="36" t="inlineStr">
        <is>
          <t>Confirms RLS on 'notification_channels' prevents one user from READING another user's rows. RLS is the last line of defence against a data leak; a single missing/incorrect policy exposes private student, payment, or consent data.</t>
        </is>
      </c>
      <c r="F33" s="36" t="inlineStr">
        <is>
          <t>Two distinct test accounts (A and B) each with rows in this table; their JWTs.</t>
        </is>
      </c>
      <c r="G33" s="36" t="inlineStr">
        <is>
          <t>1) As user A, query 'notification_channels' for A's own rows (should succeed). 2) As user A, attempt to read user B's rows in 'notification_channels' by id/filter manipulation. 3) As anonymous, attempt to read 'notification_channels'.</t>
        </is>
      </c>
      <c r="H33" s="36" t="inlineStr">
        <is>
          <t>A reads only A's rows; A cannot read B's rows in 'notification_channels'; anonymous is blocked. No cross-user leakage.</t>
        </is>
      </c>
      <c r="I33" s="36" t="inlineStr">
        <is>
          <t>SQL results for own-row, cross-user, and anon attempts</t>
        </is>
      </c>
      <c r="J33" s="41" t="inlineStr">
        <is>
          <t>NOT RUN</t>
        </is>
      </c>
      <c r="K33" s="36" t="inlineStr">
        <is>
          <t>Claude (pending env)</t>
        </is>
      </c>
      <c r="L33" s="36" t="n"/>
      <c r="M33" s="36" t="n"/>
      <c r="N33" s="36" t="inlineStr">
        <is>
          <t>[T3 | Phase 3 | Claude (pending env)] parametrized SQL probe via live/staging Supabase. awaiting live/staging Supabase read access + A/B test accounts</t>
        </is>
      </c>
    </row>
    <row r="34" ht="43.25" customHeight="1" s="29">
      <c r="A34" s="37" t="inlineStr">
        <is>
          <t>MX-RLS-0032</t>
        </is>
      </c>
      <c r="B34" s="54" t="inlineStr">
        <is>
          <t>P1</t>
        </is>
      </c>
      <c r="C34" s="37" t="inlineStr">
        <is>
          <t>DB+RLS</t>
        </is>
      </c>
      <c r="D34" s="37" t="inlineStr">
        <is>
          <t>notification_channels — write isolation</t>
        </is>
      </c>
      <c r="E34" s="37" t="inlineStr">
        <is>
          <t>Confirms RLS on 'notification_channels' prevents one user from WRITING (insert/update/delete) another user's rows. Read-only RLS is not enough: a write gap lets an attacker tamper with someone else's mastery, payments, consent, or reports.</t>
        </is>
      </c>
      <c r="F34" s="37" t="inlineStr">
        <is>
          <t>Two distinct test accounts (A and B) each with rows in this table; their JWTs.</t>
        </is>
      </c>
      <c r="G34" s="37" t="inlineStr">
        <is>
          <t>1) As user A, attempt to UPDATE or DELETE user B's row in 'notification_channels' by id manipulation. 2) As user A, attempt to INSERT a row into 'notification_channels' attributed to user B. 3) As anonymous, attempt any write to 'notification_channels'.</t>
        </is>
      </c>
      <c r="H34" s="37" t="inlineStr">
        <is>
          <t>Every cross-user write is rejected by RLS; anonymous writes blocked; A can only write its own rows.</t>
        </is>
      </c>
      <c r="I34" s="37" t="inlineStr">
        <is>
          <t>SQL results for cross-user update/delete/insert and anon write attempts</t>
        </is>
      </c>
      <c r="J34" s="43" t="inlineStr">
        <is>
          <t>NOT RUN</t>
        </is>
      </c>
      <c r="K34" s="37" t="inlineStr">
        <is>
          <t>Claude (pending env)</t>
        </is>
      </c>
      <c r="L34" s="37" t="n"/>
      <c r="M34" s="37" t="n"/>
      <c r="N34" s="37" t="inlineStr">
        <is>
          <t>[T3 | Phase 3 | Claude (pending env)] parametrized SQL probe via live/staging Supabase. awaiting live/staging Supabase read access + A/B test accounts</t>
        </is>
      </c>
    </row>
    <row r="35" ht="43.25" customHeight="1" s="29">
      <c r="A35" s="36" t="inlineStr">
        <is>
          <t>MX-RLS-0033</t>
        </is>
      </c>
      <c r="B35" s="54" t="inlineStr">
        <is>
          <t>P1</t>
        </is>
      </c>
      <c r="C35" s="36" t="inlineStr">
        <is>
          <t>DB+RLS</t>
        </is>
      </c>
      <c r="D35" s="36" t="inlineStr">
        <is>
          <t>teacher_remediation_assignments — read isolation</t>
        </is>
      </c>
      <c r="E35" s="36" t="inlineStr">
        <is>
          <t>Confirms RLS on 'teacher_remediation_assignments' prevents one user from READING another user's rows. RLS is the last line of defence against a data leak; a single missing/incorrect policy exposes private student, payment, or consent data.</t>
        </is>
      </c>
      <c r="F35" s="36" t="inlineStr">
        <is>
          <t>Two distinct test accounts (A and B) each with rows in this table; their JWTs.</t>
        </is>
      </c>
      <c r="G35" s="36" t="inlineStr">
        <is>
          <t>1) As user A, query 'teacher_remediation_assignments' for A's own rows (should succeed). 2) As user A, attempt to read user B's rows in 'teacher_remediation_assignments' by id/filter manipulation. 3) As anonymous, attempt to read 'teacher_remediation_assignments'.</t>
        </is>
      </c>
      <c r="H35" s="36" t="inlineStr">
        <is>
          <t>A reads only A's rows; A cannot read B's rows in 'teacher_remediation_assignments'; anonymous is blocked. No cross-user leakage.</t>
        </is>
      </c>
      <c r="I35" s="36" t="inlineStr">
        <is>
          <t>SQL results for own-row, cross-user, and anon attempts</t>
        </is>
      </c>
      <c r="J35" s="41" t="inlineStr">
        <is>
          <t>NOT RUN</t>
        </is>
      </c>
      <c r="K35" s="36" t="inlineStr">
        <is>
          <t>Claude (pending env)</t>
        </is>
      </c>
      <c r="L35" s="36" t="n"/>
      <c r="M35" s="36" t="n"/>
      <c r="N35" s="36" t="inlineStr">
        <is>
          <t>[T3 | Phase 3 | Claude (pending env)] parametrized SQL probe via live/staging Supabase. awaiting live/staging Supabase read access + A/B test accounts</t>
        </is>
      </c>
    </row>
    <row r="36" ht="53.7" customHeight="1" s="29">
      <c r="A36" s="37" t="inlineStr">
        <is>
          <t>MX-RLS-0034</t>
        </is>
      </c>
      <c r="B36" s="54" t="inlineStr">
        <is>
          <t>P1</t>
        </is>
      </c>
      <c r="C36" s="37" t="inlineStr">
        <is>
          <t>DB+RLS</t>
        </is>
      </c>
      <c r="D36" s="37" t="inlineStr">
        <is>
          <t>teacher_remediation_assignments — write isolation</t>
        </is>
      </c>
      <c r="E36" s="37" t="inlineStr">
        <is>
          <t>Confirms RLS on 'teacher_remediation_assignments' prevents one user from WRITING (insert/update/delete) another user's rows. Read-only RLS is not enough: a write gap lets an attacker tamper with someone else's mastery, payments, consent, or reports.</t>
        </is>
      </c>
      <c r="F36" s="37" t="inlineStr">
        <is>
          <t>Two distinct test accounts (A and B) each with rows in this table; their JWTs.</t>
        </is>
      </c>
      <c r="G36" s="37" t="inlineStr">
        <is>
          <t>1) As user A, attempt to UPDATE or DELETE user B's row in 'teacher_remediation_assignments' by id manipulation. 2) As user A, attempt to INSERT a row into 'teacher_remediation_assignments' attributed to user B. 3) As anonymous, attempt any write to 'teacher_remediation_assignments'.</t>
        </is>
      </c>
      <c r="H36" s="37" t="inlineStr">
        <is>
          <t>Every cross-user write is rejected by RLS; anonymous writes blocked; A can only write its own rows.</t>
        </is>
      </c>
      <c r="I36" s="37" t="inlineStr">
        <is>
          <t>SQL results for cross-user update/delete/insert and anon write attempts</t>
        </is>
      </c>
      <c r="J36" s="43" t="inlineStr">
        <is>
          <t>NOT RUN</t>
        </is>
      </c>
      <c r="K36" s="37" t="inlineStr">
        <is>
          <t>Claude (pending env)</t>
        </is>
      </c>
      <c r="L36" s="37" t="n"/>
      <c r="M36" s="37" t="n"/>
      <c r="N36" s="37" t="inlineStr">
        <is>
          <t>[T3 | Phase 3 | Claude (pending env)] parametrized SQL probe via live/staging Supabase. awaiting live/staging Supabase read access + A/B test accounts</t>
        </is>
      </c>
    </row>
    <row r="37" ht="43.25" customHeight="1" s="29">
      <c r="A37" s="36" t="inlineStr">
        <is>
          <t>MX-RLS-0035</t>
        </is>
      </c>
      <c r="B37" s="54" t="inlineStr">
        <is>
          <t>P1</t>
        </is>
      </c>
      <c r="C37" s="36" t="inlineStr">
        <is>
          <t>DB+RLS</t>
        </is>
      </c>
      <c r="D37" s="36" t="inlineStr">
        <is>
          <t>class_enrollments — read isolation</t>
        </is>
      </c>
      <c r="E37" s="36" t="inlineStr">
        <is>
          <t>Confirms RLS on 'class_enrollments' prevents one user from READING another user's rows. RLS is the last line of defence against a data leak; a single missing/incorrect policy exposes private student, payment, or consent data.</t>
        </is>
      </c>
      <c r="F37" s="36" t="inlineStr">
        <is>
          <t>Two distinct test accounts (A and B) each with rows in this table; their JWTs.</t>
        </is>
      </c>
      <c r="G37" s="36" t="inlineStr">
        <is>
          <t>1) As user A, query 'class_enrollments' for A's own rows (should succeed). 2) As user A, attempt to read user B's rows in 'class_enrollments' by id/filter manipulation. 3) As anonymous, attempt to read 'class_enrollments'.</t>
        </is>
      </c>
      <c r="H37" s="36" t="inlineStr">
        <is>
          <t>A reads only A's rows; A cannot read B's rows in 'class_enrollments'; anonymous is blocked. No cross-user leakage.</t>
        </is>
      </c>
      <c r="I37" s="36" t="inlineStr">
        <is>
          <t>SQL results for own-row, cross-user, and anon attempts</t>
        </is>
      </c>
      <c r="J37" s="41" t="inlineStr">
        <is>
          <t>NOT RUN</t>
        </is>
      </c>
      <c r="K37" s="36" t="inlineStr">
        <is>
          <t>Claude (pending env)</t>
        </is>
      </c>
      <c r="L37" s="36" t="n"/>
      <c r="M37" s="36" t="n"/>
      <c r="N37" s="36" t="inlineStr">
        <is>
          <t>[T3 | Phase 3 | Claude (pending env)] parametrized SQL probe via live/staging Supabase. awaiting live/staging Supabase read access + A/B test accounts</t>
        </is>
      </c>
    </row>
    <row r="38" ht="43.25" customHeight="1" s="29">
      <c r="A38" s="37" t="inlineStr">
        <is>
          <t>MX-RLS-0036</t>
        </is>
      </c>
      <c r="B38" s="54" t="inlineStr">
        <is>
          <t>P1</t>
        </is>
      </c>
      <c r="C38" s="37" t="inlineStr">
        <is>
          <t>DB+RLS</t>
        </is>
      </c>
      <c r="D38" s="37" t="inlineStr">
        <is>
          <t>class_enrollments — write isolation</t>
        </is>
      </c>
      <c r="E38" s="37" t="inlineStr">
        <is>
          <t>Confirms RLS on 'class_enrollments' prevents one user from WRITING (insert/update/delete) another user's rows. Read-only RLS is not enough: a write gap lets an attacker tamper with someone else's mastery, payments, consent, or reports.</t>
        </is>
      </c>
      <c r="F38" s="37" t="inlineStr">
        <is>
          <t>Two distinct test accounts (A and B) each with rows in this table; their JWTs.</t>
        </is>
      </c>
      <c r="G38" s="37" t="inlineStr">
        <is>
          <t>1) As user A, attempt to UPDATE or DELETE user B's row in 'class_enrollments' by id manipulation. 2) As user A, attempt to INSERT a row into 'class_enrollments' attributed to user B. 3) As anonymous, attempt any write to 'class_enrollments'.</t>
        </is>
      </c>
      <c r="H38" s="37" t="inlineStr">
        <is>
          <t>Every cross-user write is rejected by RLS; anonymous writes blocked; A can only write its own rows.</t>
        </is>
      </c>
      <c r="I38" s="37" t="inlineStr">
        <is>
          <t>SQL results for cross-user update/delete/insert and anon write attempts</t>
        </is>
      </c>
      <c r="J38" s="43" t="inlineStr">
        <is>
          <t>NOT RUN</t>
        </is>
      </c>
      <c r="K38" s="37" t="inlineStr">
        <is>
          <t>Claude (pending env)</t>
        </is>
      </c>
      <c r="L38" s="37" t="n"/>
      <c r="M38" s="37" t="n"/>
      <c r="N38" s="37" t="inlineStr">
        <is>
          <t>[T3 | Phase 3 | Claude (pending env)] parametrized SQL probe via live/staging Supabase. awaiting live/staging Supabase read access + A/B test accounts</t>
        </is>
      </c>
    </row>
    <row r="39" ht="43.25" customHeight="1" s="29">
      <c r="A39" s="36" t="inlineStr">
        <is>
          <t>MX-RLS-0037</t>
        </is>
      </c>
      <c r="B39" s="54" t="inlineStr">
        <is>
          <t>P1</t>
        </is>
      </c>
      <c r="C39" s="36" t="inlineStr">
        <is>
          <t>DB+RLS</t>
        </is>
      </c>
      <c r="D39" s="36" t="inlineStr">
        <is>
          <t>school_seat_usage — read isolation</t>
        </is>
      </c>
      <c r="E39" s="36" t="inlineStr">
        <is>
          <t>Confirms RLS on 'school_seat_usage' prevents one user from READING another user's rows. RLS is the last line of defence against a data leak; a single missing/incorrect policy exposes private student, payment, or consent data.</t>
        </is>
      </c>
      <c r="F39" s="36" t="inlineStr">
        <is>
          <t>Two distinct test accounts (A and B) each with rows in this table; their JWTs.</t>
        </is>
      </c>
      <c r="G39" s="36" t="inlineStr">
        <is>
          <t>1) As user A, query 'school_seat_usage' for A's own rows (should succeed). 2) As user A, attempt to read user B's rows in 'school_seat_usage' by id/filter manipulation. 3) As anonymous, attempt to read 'school_seat_usage'.</t>
        </is>
      </c>
      <c r="H39" s="36" t="inlineStr">
        <is>
          <t>A reads only A's rows; A cannot read B's rows in 'school_seat_usage'; anonymous is blocked. No cross-user leakage.</t>
        </is>
      </c>
      <c r="I39" s="36" t="inlineStr">
        <is>
          <t>SQL results for own-row, cross-user, and anon attempts</t>
        </is>
      </c>
      <c r="J39" s="41" t="inlineStr">
        <is>
          <t>NOT RUN</t>
        </is>
      </c>
      <c r="K39" s="36" t="inlineStr">
        <is>
          <t>Claude (pending env)</t>
        </is>
      </c>
      <c r="L39" s="36" t="n"/>
      <c r="M39" s="36" t="n"/>
      <c r="N39" s="36" t="inlineStr">
        <is>
          <t>[T3 | Phase 3 | Claude (pending env)] parametrized SQL probe via live/staging Supabase. awaiting live/staging Supabase read access + A/B test accounts</t>
        </is>
      </c>
    </row>
    <row r="40" ht="43.25" customHeight="1" s="29">
      <c r="A40" s="37" t="inlineStr">
        <is>
          <t>MX-RLS-0038</t>
        </is>
      </c>
      <c r="B40" s="54" t="inlineStr">
        <is>
          <t>P1</t>
        </is>
      </c>
      <c r="C40" s="37" t="inlineStr">
        <is>
          <t>DB+RLS</t>
        </is>
      </c>
      <c r="D40" s="37" t="inlineStr">
        <is>
          <t>school_seat_usage — write isolation</t>
        </is>
      </c>
      <c r="E40" s="37" t="inlineStr">
        <is>
          <t>Confirms RLS on 'school_seat_usage' prevents one user from WRITING (insert/update/delete) another user's rows. Read-only RLS is not enough: a write gap lets an attacker tamper with someone else's mastery, payments, consent, or reports.</t>
        </is>
      </c>
      <c r="F40" s="37" t="inlineStr">
        <is>
          <t>Two distinct test accounts (A and B) each with rows in this table; their JWTs.</t>
        </is>
      </c>
      <c r="G40" s="37" t="inlineStr">
        <is>
          <t>1) As user A, attempt to UPDATE or DELETE user B's row in 'school_seat_usage' by id manipulation. 2) As user A, attempt to INSERT a row into 'school_seat_usage' attributed to user B. 3) As anonymous, attempt any write to 'school_seat_usage'.</t>
        </is>
      </c>
      <c r="H40" s="37" t="inlineStr">
        <is>
          <t>Every cross-user write is rejected by RLS; anonymous writes blocked; A can only write its own rows.</t>
        </is>
      </c>
      <c r="I40" s="37" t="inlineStr">
        <is>
          <t>SQL results for cross-user update/delete/insert and anon write attempts</t>
        </is>
      </c>
      <c r="J40" s="43" t="inlineStr">
        <is>
          <t>NOT RUN</t>
        </is>
      </c>
      <c r="K40" s="37" t="inlineStr">
        <is>
          <t>Claude (pending env)</t>
        </is>
      </c>
      <c r="L40" s="37" t="n"/>
      <c r="M40" s="37" t="n"/>
      <c r="N40" s="37" t="inlineStr">
        <is>
          <t>[T3 | Phase 3 | Claude (pending env)] parametrized SQL probe via live/staging Supabase. awaiting live/staging Supabase read access + A/B test accounts</t>
        </is>
      </c>
    </row>
    <row r="41" ht="43.25" customHeight="1" s="29">
      <c r="A41" s="36" t="inlineStr">
        <is>
          <t>MX-RLS-0039</t>
        </is>
      </c>
      <c r="B41" s="53" t="inlineStr">
        <is>
          <t>P0</t>
        </is>
      </c>
      <c r="C41" s="36" t="inlineStr">
        <is>
          <t>DB+RLS</t>
        </is>
      </c>
      <c r="D41" s="36" t="inlineStr">
        <is>
          <t>data_erasure_requests — read isolation</t>
        </is>
      </c>
      <c r="E41" s="36" t="inlineStr">
        <is>
          <t>Confirms RLS on 'data_erasure_requests' prevents one user from READING another user's rows. RLS is the last line of defence against a data leak; a single missing/incorrect policy exposes private student, payment, or consent data.</t>
        </is>
      </c>
      <c r="F41" s="36" t="inlineStr">
        <is>
          <t>Two distinct test accounts (A and B) each with rows in this table; their JWTs.</t>
        </is>
      </c>
      <c r="G41" s="36" t="inlineStr">
        <is>
          <t>1) As user A, query 'data_erasure_requests' for A's own rows (should succeed). 2) As user A, attempt to read user B's rows in 'data_erasure_requests' by id/filter manipulation. 3) As anonymous, attempt to read 'data_erasure_requests'.</t>
        </is>
      </c>
      <c r="H41" s="36" t="inlineStr">
        <is>
          <t>A reads only A's rows; A cannot read B's rows in 'data_erasure_requests'; anonymous is blocked. No cross-user leakage.</t>
        </is>
      </c>
      <c r="I41" s="36" t="inlineStr">
        <is>
          <t>SQL results for own-row, cross-user, and anon attempts</t>
        </is>
      </c>
      <c r="J41" s="41" t="inlineStr">
        <is>
          <t>NOT RUN</t>
        </is>
      </c>
      <c r="K41" s="36" t="inlineStr">
        <is>
          <t>Claude (pending env)</t>
        </is>
      </c>
      <c r="L41" s="36" t="n"/>
      <c r="M41" s="36" t="n"/>
      <c r="N41" s="36" t="inlineStr">
        <is>
          <t>[T3 | Phase 3 | Claude (pending env)] parametrized SQL probe via live/staging Supabase. awaiting live/staging Supabase read access + A/B test accounts</t>
        </is>
      </c>
    </row>
    <row r="42" ht="53.7" customHeight="1" s="29">
      <c r="A42" s="37" t="inlineStr">
        <is>
          <t>MX-RLS-0040</t>
        </is>
      </c>
      <c r="B42" s="53" t="inlineStr">
        <is>
          <t>P0</t>
        </is>
      </c>
      <c r="C42" s="37" t="inlineStr">
        <is>
          <t>DB+RLS</t>
        </is>
      </c>
      <c r="D42" s="37" t="inlineStr">
        <is>
          <t>data_erasure_requests — write isolation</t>
        </is>
      </c>
      <c r="E42" s="37" t="inlineStr">
        <is>
          <t>Confirms RLS on 'data_erasure_requests' prevents one user from WRITING (insert/update/delete) another user's rows. Read-only RLS is not enough: a write gap lets an attacker tamper with someone else's mastery, payments, consent, or reports.</t>
        </is>
      </c>
      <c r="F42" s="37" t="inlineStr">
        <is>
          <t>Two distinct test accounts (A and B) each with rows in this table; their JWTs.</t>
        </is>
      </c>
      <c r="G42" s="37" t="inlineStr">
        <is>
          <t>1) As user A, attempt to UPDATE or DELETE user B's row in 'data_erasure_requests' by id manipulation. 2) As user A, attempt to INSERT a row into 'data_erasure_requests' attributed to user B. 3) As anonymous, attempt any write to 'data_erasure_requests'.</t>
        </is>
      </c>
      <c r="H42" s="37" t="inlineStr">
        <is>
          <t>Every cross-user write is rejected by RLS; anonymous writes blocked; A can only write its own rows.</t>
        </is>
      </c>
      <c r="I42" s="37" t="inlineStr">
        <is>
          <t>SQL results for cross-user update/delete/insert and anon write attempts</t>
        </is>
      </c>
      <c r="J42" s="43" t="inlineStr">
        <is>
          <t>NOT RUN</t>
        </is>
      </c>
      <c r="K42" s="37" t="inlineStr">
        <is>
          <t>Claude (pending env)</t>
        </is>
      </c>
      <c r="L42" s="37" t="n"/>
      <c r="M42" s="37" t="n"/>
      <c r="N42" s="37" t="inlineStr">
        <is>
          <t>[T3 | Phase 3 | Claude (pending env)] parametrized SQL probe via live/staging Supabase. awaiting live/staging Supabase read access + A/B test accounts</t>
        </is>
      </c>
    </row>
  </sheetData>
  <autoFilter ref="A2:N42"/>
  <mergeCells count="1">
    <mergeCell ref="A1:N1"/>
  </mergeCells>
  <conditionalFormatting sqref="J3:J42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42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N2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23 · Matrix — Content Coverage (Grade × Subject × Dimension)   —   210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43.25" customHeight="1" s="29">
      <c r="A3" s="36" t="inlineStr">
        <is>
          <t>MX-CONTENT-0001</t>
        </is>
      </c>
      <c r="B3" s="54" t="inlineStr">
        <is>
          <t>P1</t>
        </is>
      </c>
      <c r="C3" s="36" t="inlineStr">
        <is>
          <t>Content/RAG</t>
        </is>
      </c>
      <c r="D3" s="36" t="inlineStr">
        <is>
          <t>Grade 6 · Maths · Syllabus tree loads</t>
        </is>
      </c>
      <c r="E3" s="36" t="inlineStr">
        <is>
          <t>Confirms the 'Syllabus tree loads' dimension for Grade 6 Maths. Coverage is proven per grade, per subject, per dimension — not claimed in aggregate. A gap on any dimension means that grade/subject is not truly launch-ready and must be fenced.</t>
        </is>
      </c>
      <c r="F3" s="36" t="inlineStr">
        <is>
          <t>A student account set to Grade 6 with Maths available.</t>
        </is>
      </c>
      <c r="G3" s="36" t="inlineStr">
        <is>
          <t>1) Open the Maths syllabus for Grade 6; confirm every chapter loads and the list matches cbse_syllabus exactly.</t>
        </is>
      </c>
      <c r="H3" s="36" t="inlineStr">
        <is>
          <t>Chapter list loads and matches the canonical taxonomy; no missing/extra/duplicate chapters.</t>
        </is>
      </c>
      <c r="I3" s="36" t="inlineStr">
        <is>
          <t>Evidence for Grade 6 Maths — Syllabus tree loads (screenshot and/or SQL)</t>
        </is>
      </c>
      <c r="J3" s="41" t="inlineStr">
        <is>
          <t>NOT RUN</t>
        </is>
      </c>
      <c r="K3" s="36" t="inlineStr">
        <is>
          <t>Claude (pending env)</t>
        </is>
      </c>
      <c r="L3" s="36" t="n"/>
      <c r="M3" s="36" t="n"/>
      <c r="N3" s="36" t="inlineStr">
        <is>
          <t>[T4 | Phase 4 | Claude (pending env)] Playwright/authenticated-API against running env. awaiting running staging URL + test accounts</t>
        </is>
      </c>
    </row>
    <row r="4" ht="53.7" customHeight="1" s="29">
      <c r="A4" s="37" t="inlineStr">
        <is>
          <t>MX-CONTENT-0002</t>
        </is>
      </c>
      <c r="B4" s="54" t="inlineStr">
        <is>
          <t>P1</t>
        </is>
      </c>
      <c r="C4" s="37" t="inlineStr">
        <is>
          <t>Content/RAG</t>
        </is>
      </c>
      <c r="D4" s="37" t="inlineStr">
        <is>
          <t>Grade 6 · Maths · Foxy in-syllabus grounding</t>
        </is>
      </c>
      <c r="E4" s="37" t="inlineStr">
        <is>
          <t>Confirms the 'Foxy in-syllabus grounding' dimension for Grade 6 Maths. Coverage is proven per grade, per subject, per dimension — not claimed in aggregate. A gap on any dimension means that grade/subject is not truly launch-ready and must be fenced.</t>
        </is>
      </c>
      <c r="F4" s="37" t="inlineStr">
        <is>
          <t>A student account set to Grade 6 with Maths available.</t>
        </is>
      </c>
      <c r="G4" s="37" t="inlineStr">
        <is>
          <t>1) Ask Foxy an in-syllabus Maths question for Grade 6; confirm a grounded, cited answer from NCERT chunks.</t>
        </is>
      </c>
      <c r="H4" s="37" t="inlineStr">
        <is>
          <t>Answer is correct, on-syllabus, cited; grounded_ai_traces written.</t>
        </is>
      </c>
      <c r="I4" s="37" t="inlineStr">
        <is>
          <t>Evidence for Grade 6 Maths — Foxy in-syllabus grounding (screenshot and/or SQL)</t>
        </is>
      </c>
      <c r="J4" s="43" t="inlineStr">
        <is>
          <t>NOT RUN</t>
        </is>
      </c>
      <c r="K4" s="37" t="inlineStr">
        <is>
          <t>Claude (pending env)</t>
        </is>
      </c>
      <c r="L4" s="37" t="n"/>
      <c r="M4" s="37" t="n"/>
      <c r="N4" s="37" t="inlineStr">
        <is>
          <t>[T4 | Phase 4 | Claude (pending env)] Playwright/authenticated-API against running env. awaiting running staging URL + test accounts</t>
        </is>
      </c>
    </row>
    <row r="5" ht="53.7" customHeight="1" s="29">
      <c r="A5" s="36" t="inlineStr">
        <is>
          <t>MX-CONTENT-0003</t>
        </is>
      </c>
      <c r="B5" s="54" t="inlineStr">
        <is>
          <t>P1</t>
        </is>
      </c>
      <c r="C5" s="36" t="inlineStr">
        <is>
          <t>Content/RAG</t>
        </is>
      </c>
      <c r="D5" s="36" t="inlineStr">
        <is>
          <t>Grade 6 · Maths · Foxy out-of-syllabus refusal</t>
        </is>
      </c>
      <c r="E5" s="36" t="inlineStr">
        <is>
          <t>Confirms the 'Foxy out-of-syllabus refusal' dimension for Grade 6 Maths. Coverage is proven per grade, per subject, per dimension — not claimed in aggregate. A gap on any dimension means that grade/subject is not truly launch-ready and must be fenced.</t>
        </is>
      </c>
      <c r="F5" s="36" t="inlineStr">
        <is>
          <t>A student account set to Grade 6 with Maths available.</t>
        </is>
      </c>
      <c r="G5" s="36" t="inlineStr">
        <is>
          <t>1) Ask Foxy an out-of-syllabus Maths question for Grade 6; confirm CURRICULUM_GAP, not a fabricated answer.</t>
        </is>
      </c>
      <c r="H5" s="36" t="inlineStr">
        <is>
          <t>Structured CURRICULUM_GAP returned; content_gaps logged; no hallucination.</t>
        </is>
      </c>
      <c r="I5" s="36" t="inlineStr">
        <is>
          <t>Evidence for Grade 6 Maths — Foxy out-of-syllabus refusal (screenshot and/or SQL)</t>
        </is>
      </c>
      <c r="J5" s="41" t="inlineStr">
        <is>
          <t>NOT RUN</t>
        </is>
      </c>
      <c r="K5" s="36" t="inlineStr">
        <is>
          <t>Claude (pending env)</t>
        </is>
      </c>
      <c r="L5" s="36" t="n"/>
      <c r="M5" s="36" t="n"/>
      <c r="N5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6" ht="53.7" customHeight="1" s="29">
      <c r="A6" s="37" t="inlineStr">
        <is>
          <t>MX-CONTENT-0004</t>
        </is>
      </c>
      <c r="B6" s="54" t="inlineStr">
        <is>
          <t>P1</t>
        </is>
      </c>
      <c r="C6" s="37" t="inlineStr">
        <is>
          <t>Content/RAG</t>
        </is>
      </c>
      <c r="D6" s="37" t="inlineStr">
        <is>
          <t>Grade 6 · Maths · Quiz generation (verified-only)</t>
        </is>
      </c>
      <c r="E6" s="37" t="inlineStr">
        <is>
          <t>Confirms the 'Quiz generation (verified-only)' dimension for Grade 6 Maths. Coverage is proven per grade, per subject, per dimension — not claimed in aggregate. A gap on any dimension means that grade/subject is not truly launch-ready and must be fenced.</t>
        </is>
      </c>
      <c r="F6" s="37" t="inlineStr">
        <is>
          <t>A student account set to Grade 6 with Maths available.</t>
        </is>
      </c>
      <c r="G6" s="37" t="inlineStr">
        <is>
          <t>1) Generate/take a Maths quiz for Grade 6; collect served ids and confirm all are verification_state='verified'.</t>
        </is>
      </c>
      <c r="H6" s="37" t="inlineStr">
        <is>
          <t>Quiz generates; 100% of served questions are verified; none unverified.</t>
        </is>
      </c>
      <c r="I6" s="37" t="inlineStr">
        <is>
          <t>Evidence for Grade 6 Maths — Quiz generation (verified-only) (screenshot and/or SQL)</t>
        </is>
      </c>
      <c r="J6" s="43" t="inlineStr">
        <is>
          <t>NOT RUN</t>
        </is>
      </c>
      <c r="K6" s="37" t="inlineStr">
        <is>
          <t>Claude (pending env)</t>
        </is>
      </c>
      <c r="L6" s="37" t="n"/>
      <c r="M6" s="37" t="n"/>
      <c r="N6" s="37" t="inlineStr">
        <is>
          <t>[T4 | Phase 4 | Claude (pending env)] Playwright/authenticated-API against running env. awaiting running staging URL + test accounts</t>
        </is>
      </c>
    </row>
    <row r="7" ht="43.25" customHeight="1" s="29">
      <c r="A7" s="36" t="inlineStr">
        <is>
          <t>MX-CONTENT-0005</t>
        </is>
      </c>
      <c r="B7" s="55" t="inlineStr">
        <is>
          <t>P2</t>
        </is>
      </c>
      <c r="C7" s="36" t="inlineStr">
        <is>
          <t>Content/RAG</t>
        </is>
      </c>
      <c r="D7" s="36" t="inlineStr">
        <is>
          <t>Grade 6 · Maths · Readiness honesty</t>
        </is>
      </c>
      <c r="E7" s="36" t="inlineStr">
        <is>
          <t>Confirms the 'Readiness honesty' dimension for Grade 6 Maths. Coverage is proven per grade, per subject, per dimension — not claimed in aggregate. A gap on any dimension means that grade/subject is not truly launch-ready and must be fenced.</t>
        </is>
      </c>
      <c r="F7" s="36" t="inlineStr">
        <is>
          <t>A student account set to Grade 6 with Maths available.</t>
        </is>
      </c>
      <c r="G7" s="36" t="inlineStr">
        <is>
          <t>1) For one Grade 6 Maths chapter, compare cbse_syllabus rag_status/chunk_count/verified count to the actual indexed rows.</t>
        </is>
      </c>
      <c r="H7" s="36" t="inlineStr">
        <is>
          <t>Stored readiness matches reality for the sampled chapter.</t>
        </is>
      </c>
      <c r="I7" s="36" t="inlineStr">
        <is>
          <t>Evidence for Grade 6 Maths — Readiness honesty (screenshot and/or SQL)</t>
        </is>
      </c>
      <c r="J7" s="41" t="inlineStr">
        <is>
          <t>NOT RUN</t>
        </is>
      </c>
      <c r="K7" s="36" t="inlineStr">
        <is>
          <t>Claude (pending env)</t>
        </is>
      </c>
      <c r="L7" s="36" t="n"/>
      <c r="M7" s="36" t="n"/>
      <c r="N7" s="36" t="inlineStr">
        <is>
          <t>[T3 | Phase 3 | Claude (pending env)] parametrized SQL probe via live/staging Supabase. awaiting live/staging Supabase read access + A/B test accounts</t>
        </is>
      </c>
    </row>
    <row r="8" ht="43.25" customHeight="1" s="29">
      <c r="A8" s="37" t="inlineStr">
        <is>
          <t>MX-CONTENT-0006</t>
        </is>
      </c>
      <c r="B8" s="55" t="inlineStr">
        <is>
          <t>P2</t>
        </is>
      </c>
      <c r="C8" s="37" t="inlineStr">
        <is>
          <t>Content/RAG</t>
        </is>
      </c>
      <c r="D8" s="37" t="inlineStr">
        <is>
          <t>Grade 6 · Maths · Hindi availability</t>
        </is>
      </c>
      <c r="E8" s="37" t="inlineStr">
        <is>
          <t>Confirms the 'Hindi availability' dimension for Grade 6 Maths. Coverage is proven per grade, per subject, per dimension — not claimed in aggregate. A gap on any dimension means that grade/subject is not truly launch-ready and must be fenced.</t>
        </is>
      </c>
      <c r="F8" s="37" t="inlineStr">
        <is>
          <t>A student account set to Grade 6 with Maths available.</t>
        </is>
      </c>
      <c r="G8" s="37" t="inlineStr">
        <is>
          <t>1) For Grade 6 Maths, confirm Hindi content retrieves under language='hi' where indexed, or returns LANGUAGE_GAP.</t>
        </is>
      </c>
      <c r="H8" s="37" t="inlineStr">
        <is>
          <t>Hindi served where indexed; explicit LANGUAGE_GAP otherwise; never silent English.</t>
        </is>
      </c>
      <c r="I8" s="37" t="inlineStr">
        <is>
          <t>Evidence for Grade 6 Maths — Hindi availability (screenshot and/or SQL)</t>
        </is>
      </c>
      <c r="J8" s="43" t="inlineStr">
        <is>
          <t>NOT RUN</t>
        </is>
      </c>
      <c r="K8" s="37" t="inlineStr">
        <is>
          <t>Claude (pending env)</t>
        </is>
      </c>
      <c r="L8" s="37" t="n"/>
      <c r="M8" s="37" t="n"/>
      <c r="N8" s="37" t="inlineStr">
        <is>
          <t>[T3 | Phase 3 | Claude (pending env)] parametrized SQL probe via live/staging Supabase. awaiting live/staging Supabase read access + A/B test accounts</t>
        </is>
      </c>
    </row>
    <row r="9" ht="53.7" customHeight="1" s="29">
      <c r="A9" s="36" t="inlineStr">
        <is>
          <t>MX-CONTENT-0007</t>
        </is>
      </c>
      <c r="B9" s="54" t="inlineStr">
        <is>
          <t>P1</t>
        </is>
      </c>
      <c r="C9" s="36" t="inlineStr">
        <is>
          <t>Content/RAG</t>
        </is>
      </c>
      <c r="D9" s="36" t="inlineStr">
        <is>
          <t>Grade 6 · Science · Syllabus tree loads</t>
        </is>
      </c>
      <c r="E9" s="36" t="inlineStr">
        <is>
          <t>Confirms the 'Syllabus tree loads' dimension for Grade 6 Science. Coverage is proven per grade, per subject, per dimension — not claimed in aggregate. A gap on any dimension means that grade/subject is not truly launch-ready and must be fenced.</t>
        </is>
      </c>
      <c r="F9" s="36" t="inlineStr">
        <is>
          <t>A student account set to Grade 6 with Science available.</t>
        </is>
      </c>
      <c r="G9" s="36" t="inlineStr">
        <is>
          <t>1) Open the Science syllabus for Grade 6; confirm every chapter loads and the list matches cbse_syllabus exactly.</t>
        </is>
      </c>
      <c r="H9" s="36" t="inlineStr">
        <is>
          <t>Chapter list loads and matches the canonical taxonomy; no missing/extra/duplicate chapters.</t>
        </is>
      </c>
      <c r="I9" s="36" t="inlineStr">
        <is>
          <t>Evidence for Grade 6 Science — Syllabus tree loads (screenshot and/or SQL)</t>
        </is>
      </c>
      <c r="J9" s="41" t="inlineStr">
        <is>
          <t>NOT RUN</t>
        </is>
      </c>
      <c r="K9" s="36" t="inlineStr">
        <is>
          <t>Claude (pending env)</t>
        </is>
      </c>
      <c r="L9" s="36" t="n"/>
      <c r="M9" s="36" t="n"/>
      <c r="N9" s="36" t="inlineStr">
        <is>
          <t>[T4 | Phase 4 | Claude (pending env)] Playwright/authenticated-API against running env. awaiting running staging URL + test accounts</t>
        </is>
      </c>
    </row>
    <row r="10" ht="53.7" customHeight="1" s="29">
      <c r="A10" s="37" t="inlineStr">
        <is>
          <t>MX-CONTENT-0008</t>
        </is>
      </c>
      <c r="B10" s="54" t="inlineStr">
        <is>
          <t>P1</t>
        </is>
      </c>
      <c r="C10" s="37" t="inlineStr">
        <is>
          <t>Content/RAG</t>
        </is>
      </c>
      <c r="D10" s="37" t="inlineStr">
        <is>
          <t>Grade 6 · Science · Foxy in-syllabus grounding</t>
        </is>
      </c>
      <c r="E10" s="37" t="inlineStr">
        <is>
          <t>Confirms the 'Foxy in-syllabus grounding' dimension for Grade 6 Science. Coverage is proven per grade, per subject, per dimension — not claimed in aggregate. A gap on any dimension means that grade/subject is not truly launch-ready and must be fenced.</t>
        </is>
      </c>
      <c r="F10" s="37" t="inlineStr">
        <is>
          <t>A student account set to Grade 6 with Science available.</t>
        </is>
      </c>
      <c r="G10" s="37" t="inlineStr">
        <is>
          <t>1) Ask Foxy an in-syllabus Science question for Grade 6; confirm a grounded, cited answer from NCERT chunks.</t>
        </is>
      </c>
      <c r="H10" s="37" t="inlineStr">
        <is>
          <t>Answer is correct, on-syllabus, cited; grounded_ai_traces written.</t>
        </is>
      </c>
      <c r="I10" s="37" t="inlineStr">
        <is>
          <t>Evidence for Grade 6 Science — Foxy in-syllabus grounding (screenshot and/or SQL)</t>
        </is>
      </c>
      <c r="J10" s="43" t="inlineStr">
        <is>
          <t>NOT RUN</t>
        </is>
      </c>
      <c r="K10" s="37" t="inlineStr">
        <is>
          <t>Claude (pending env)</t>
        </is>
      </c>
      <c r="L10" s="37" t="n"/>
      <c r="M10" s="37" t="n"/>
      <c r="N10" s="37" t="inlineStr">
        <is>
          <t>[T4 | Phase 4 | Claude (pending env)] Playwright/authenticated-API against running env. awaiting running staging URL + test accounts</t>
        </is>
      </c>
    </row>
    <row r="11" ht="53.7" customHeight="1" s="29">
      <c r="A11" s="36" t="inlineStr">
        <is>
          <t>MX-CONTENT-0009</t>
        </is>
      </c>
      <c r="B11" s="54" t="inlineStr">
        <is>
          <t>P1</t>
        </is>
      </c>
      <c r="C11" s="36" t="inlineStr">
        <is>
          <t>Content/RAG</t>
        </is>
      </c>
      <c r="D11" s="36" t="inlineStr">
        <is>
          <t>Grade 6 · Science · Foxy out-of-syllabus refusal</t>
        </is>
      </c>
      <c r="E11" s="36" t="inlineStr">
        <is>
          <t>Confirms the 'Foxy out-of-syllabus refusal' dimension for Grade 6 Science. Coverage is proven per grade, per subject, per dimension — not claimed in aggregate. A gap on any dimension means that grade/subject is not truly launch-ready and must be fenced.</t>
        </is>
      </c>
      <c r="F11" s="36" t="inlineStr">
        <is>
          <t>A student account set to Grade 6 with Science available.</t>
        </is>
      </c>
      <c r="G11" s="36" t="inlineStr">
        <is>
          <t>1) Ask Foxy an out-of-syllabus Science question for Grade 6; confirm CURRICULUM_GAP, not a fabricated answer.</t>
        </is>
      </c>
      <c r="H11" s="36" t="inlineStr">
        <is>
          <t>Structured CURRICULUM_GAP returned; content_gaps logged; no hallucination.</t>
        </is>
      </c>
      <c r="I11" s="36" t="inlineStr">
        <is>
          <t>Evidence for Grade 6 Science — Foxy out-of-syllabus refusal (screenshot and/or SQL)</t>
        </is>
      </c>
      <c r="J11" s="41" t="inlineStr">
        <is>
          <t>NOT RUN</t>
        </is>
      </c>
      <c r="K11" s="36" t="inlineStr">
        <is>
          <t>Claude (pending env)</t>
        </is>
      </c>
      <c r="L11" s="36" t="n"/>
      <c r="M11" s="36" t="n"/>
      <c r="N11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2" ht="53.7" customHeight="1" s="29">
      <c r="A12" s="37" t="inlineStr">
        <is>
          <t>MX-CONTENT-0010</t>
        </is>
      </c>
      <c r="B12" s="54" t="inlineStr">
        <is>
          <t>P1</t>
        </is>
      </c>
      <c r="C12" s="37" t="inlineStr">
        <is>
          <t>Content/RAG</t>
        </is>
      </c>
      <c r="D12" s="37" t="inlineStr">
        <is>
          <t>Grade 6 · Science · Quiz generation (verified-only)</t>
        </is>
      </c>
      <c r="E12" s="37" t="inlineStr">
        <is>
          <t>Confirms the 'Quiz generation (verified-only)' dimension for Grade 6 Science. Coverage is proven per grade, per subject, per dimension — not claimed in aggregate. A gap on any dimension means that grade/subject is not truly launch-ready and must be fenced.</t>
        </is>
      </c>
      <c r="F12" s="37" t="inlineStr">
        <is>
          <t>A student account set to Grade 6 with Science available.</t>
        </is>
      </c>
      <c r="G12" s="37" t="inlineStr">
        <is>
          <t>1) Generate/take a Science quiz for Grade 6; collect served ids and confirm all are verification_state='verified'.</t>
        </is>
      </c>
      <c r="H12" s="37" t="inlineStr">
        <is>
          <t>Quiz generates; 100% of served questions are verified; none unverified.</t>
        </is>
      </c>
      <c r="I12" s="37" t="inlineStr">
        <is>
          <t>Evidence for Grade 6 Science — Quiz generation (verified-only) (screenshot and/or SQL)</t>
        </is>
      </c>
      <c r="J12" s="43" t="inlineStr">
        <is>
          <t>NOT RUN</t>
        </is>
      </c>
      <c r="K12" s="37" t="inlineStr">
        <is>
          <t>Claude (pending env)</t>
        </is>
      </c>
      <c r="L12" s="37" t="n"/>
      <c r="M12" s="37" t="n"/>
      <c r="N12" s="37" t="inlineStr">
        <is>
          <t>[T4 | Phase 4 | Claude (pending env)] Playwright/authenticated-API against running env. awaiting running staging URL + test accounts</t>
        </is>
      </c>
    </row>
    <row r="13" ht="53.7" customHeight="1" s="29">
      <c r="A13" s="36" t="inlineStr">
        <is>
          <t>MX-CONTENT-0011</t>
        </is>
      </c>
      <c r="B13" s="55" t="inlineStr">
        <is>
          <t>P2</t>
        </is>
      </c>
      <c r="C13" s="36" t="inlineStr">
        <is>
          <t>Content/RAG</t>
        </is>
      </c>
      <c r="D13" s="36" t="inlineStr">
        <is>
          <t>Grade 6 · Science · Readiness honesty</t>
        </is>
      </c>
      <c r="E13" s="36" t="inlineStr">
        <is>
          <t>Confirms the 'Readiness honesty' dimension for Grade 6 Science. Coverage is proven per grade, per subject, per dimension — not claimed in aggregate. A gap on any dimension means that grade/subject is not truly launch-ready and must be fenced.</t>
        </is>
      </c>
      <c r="F13" s="36" t="inlineStr">
        <is>
          <t>A student account set to Grade 6 with Science available.</t>
        </is>
      </c>
      <c r="G13" s="36" t="inlineStr">
        <is>
          <t>1) For one Grade 6 Science chapter, compare cbse_syllabus rag_status/chunk_count/verified count to the actual indexed rows.</t>
        </is>
      </c>
      <c r="H13" s="36" t="inlineStr">
        <is>
          <t>Stored readiness matches reality for the sampled chapter.</t>
        </is>
      </c>
      <c r="I13" s="36" t="inlineStr">
        <is>
          <t>Evidence for Grade 6 Science — Readiness honesty (screenshot and/or SQL)</t>
        </is>
      </c>
      <c r="J13" s="41" t="inlineStr">
        <is>
          <t>NOT RUN</t>
        </is>
      </c>
      <c r="K13" s="36" t="inlineStr">
        <is>
          <t>Claude (pending env)</t>
        </is>
      </c>
      <c r="L13" s="36" t="n"/>
      <c r="M13" s="36" t="n"/>
      <c r="N13" s="36" t="inlineStr">
        <is>
          <t>[T3 | Phase 3 | Claude (pending env)] parametrized SQL probe via live/staging Supabase. awaiting live/staging Supabase read access + A/B test accounts</t>
        </is>
      </c>
    </row>
    <row r="14" ht="43.25" customHeight="1" s="29">
      <c r="A14" s="37" t="inlineStr">
        <is>
          <t>MX-CONTENT-0012</t>
        </is>
      </c>
      <c r="B14" s="55" t="inlineStr">
        <is>
          <t>P2</t>
        </is>
      </c>
      <c r="C14" s="37" t="inlineStr">
        <is>
          <t>Content/RAG</t>
        </is>
      </c>
      <c r="D14" s="37" t="inlineStr">
        <is>
          <t>Grade 6 · Science · Hindi availability</t>
        </is>
      </c>
      <c r="E14" s="37" t="inlineStr">
        <is>
          <t>Confirms the 'Hindi availability' dimension for Grade 6 Science. Coverage is proven per grade, per subject, per dimension — not claimed in aggregate. A gap on any dimension means that grade/subject is not truly launch-ready and must be fenced.</t>
        </is>
      </c>
      <c r="F14" s="37" t="inlineStr">
        <is>
          <t>A student account set to Grade 6 with Science available.</t>
        </is>
      </c>
      <c r="G14" s="37" t="inlineStr">
        <is>
          <t>1) For Grade 6 Science, confirm Hindi content retrieves under language='hi' where indexed, or returns LANGUAGE_GAP.</t>
        </is>
      </c>
      <c r="H14" s="37" t="inlineStr">
        <is>
          <t>Hindi served where indexed; explicit LANGUAGE_GAP otherwise; never silent English.</t>
        </is>
      </c>
      <c r="I14" s="37" t="inlineStr">
        <is>
          <t>Evidence for Grade 6 Science — Hindi availability (screenshot and/or SQL)</t>
        </is>
      </c>
      <c r="J14" s="43" t="inlineStr">
        <is>
          <t>NOT RUN</t>
        </is>
      </c>
      <c r="K14" s="37" t="inlineStr">
        <is>
          <t>Claude (pending env)</t>
        </is>
      </c>
      <c r="L14" s="37" t="n"/>
      <c r="M14" s="37" t="n"/>
      <c r="N14" s="37" t="inlineStr">
        <is>
          <t>[T3 | Phase 3 | Claude (pending env)] parametrized SQL probe via live/staging Supabase. awaiting live/staging Supabase read access + A/B test accounts</t>
        </is>
      </c>
    </row>
    <row r="15" ht="53.7" customHeight="1" s="29">
      <c r="A15" s="36" t="inlineStr">
        <is>
          <t>MX-CONTENT-0013</t>
        </is>
      </c>
      <c r="B15" s="54" t="inlineStr">
        <is>
          <t>P1</t>
        </is>
      </c>
      <c r="C15" s="36" t="inlineStr">
        <is>
          <t>Content/RAG</t>
        </is>
      </c>
      <c r="D15" s="36" t="inlineStr">
        <is>
          <t>Grade 6 · Social Science · Syllabus tree loads</t>
        </is>
      </c>
      <c r="E15" s="36" t="inlineStr">
        <is>
          <t>Confirms the 'Syllabus tree loads' dimension for Grade 6 Social Science. Coverage is proven per grade, per subject, per dimension — not claimed in aggregate. A gap on any dimension means that grade/subject is not truly launch-ready and must be fenced.</t>
        </is>
      </c>
      <c r="F15" s="36" t="inlineStr">
        <is>
          <t>A student account set to Grade 6 with Social Science available.</t>
        </is>
      </c>
      <c r="G15" s="36" t="inlineStr">
        <is>
          <t>1) Open the Social Science syllabus for Grade 6; confirm every chapter loads and the list matches cbse_syllabus exactly.</t>
        </is>
      </c>
      <c r="H15" s="36" t="inlineStr">
        <is>
          <t>Chapter list loads and matches the canonical taxonomy; no missing/extra/duplicate chapters.</t>
        </is>
      </c>
      <c r="I15" s="36" t="inlineStr">
        <is>
          <t>Evidence for Grade 6 Social Science — Syllabus tree loads (screenshot and/or SQL)</t>
        </is>
      </c>
      <c r="J15" s="41" t="inlineStr">
        <is>
          <t>NOT RUN</t>
        </is>
      </c>
      <c r="K15" s="36" t="inlineStr">
        <is>
          <t>Claude (pending env)</t>
        </is>
      </c>
      <c r="L15" s="36" t="n"/>
      <c r="M15" s="36" t="n"/>
      <c r="N15" s="36" t="inlineStr">
        <is>
          <t>[T4 | Phase 4 | Claude (pending env)] Playwright/authenticated-API against running env. awaiting running staging URL + test accounts</t>
        </is>
      </c>
    </row>
    <row r="16" ht="53.7" customHeight="1" s="29">
      <c r="A16" s="37" t="inlineStr">
        <is>
          <t>MX-CONTENT-0014</t>
        </is>
      </c>
      <c r="B16" s="54" t="inlineStr">
        <is>
          <t>P1</t>
        </is>
      </c>
      <c r="C16" s="37" t="inlineStr">
        <is>
          <t>Content/RAG</t>
        </is>
      </c>
      <c r="D16" s="37" t="inlineStr">
        <is>
          <t>Grade 6 · Social Science · Foxy in-syllabus grounding</t>
        </is>
      </c>
      <c r="E16" s="37" t="inlineStr">
        <is>
          <t>Confirms the 'Foxy in-syllabus grounding' dimension for Grade 6 Social Science. Coverage is proven per grade, per subject, per dimension — not claimed in aggregate. A gap on any dimension means that grade/subject is not truly launch-ready and must be fenced.</t>
        </is>
      </c>
      <c r="F16" s="37" t="inlineStr">
        <is>
          <t>A student account set to Grade 6 with Social Science available.</t>
        </is>
      </c>
      <c r="G16" s="37" t="inlineStr">
        <is>
          <t>1) Ask Foxy an in-syllabus Social Science question for Grade 6; confirm a grounded, cited answer from NCERT chunks.</t>
        </is>
      </c>
      <c r="H16" s="37" t="inlineStr">
        <is>
          <t>Answer is correct, on-syllabus, cited; grounded_ai_traces written.</t>
        </is>
      </c>
      <c r="I16" s="37" t="inlineStr">
        <is>
          <t>Evidence for Grade 6 Social Science — Foxy in-syllabus grounding (screenshot and/or SQL)</t>
        </is>
      </c>
      <c r="J16" s="43" t="inlineStr">
        <is>
          <t>NOT RUN</t>
        </is>
      </c>
      <c r="K16" s="37" t="inlineStr">
        <is>
          <t>Claude (pending env)</t>
        </is>
      </c>
      <c r="L16" s="37" t="n"/>
      <c r="M16" s="37" t="n"/>
      <c r="N16" s="37" t="inlineStr">
        <is>
          <t>[T4 | Phase 4 | Claude (pending env)] Playwright/authenticated-API against running env. awaiting running staging URL + test accounts</t>
        </is>
      </c>
    </row>
    <row r="17" ht="53.7" customHeight="1" s="29">
      <c r="A17" s="36" t="inlineStr">
        <is>
          <t>MX-CONTENT-0015</t>
        </is>
      </c>
      <c r="B17" s="54" t="inlineStr">
        <is>
          <t>P1</t>
        </is>
      </c>
      <c r="C17" s="36" t="inlineStr">
        <is>
          <t>Content/RAG</t>
        </is>
      </c>
      <c r="D17" s="36" t="inlineStr">
        <is>
          <t>Grade 6 · Social Science · Foxy out-of-syllabus refusal</t>
        </is>
      </c>
      <c r="E17" s="36" t="inlineStr">
        <is>
          <t>Confirms the 'Foxy out-of-syllabus refusal' dimension for Grade 6 Social Science. Coverage is proven per grade, per subject, per dimension — not claimed in aggregate. A gap on any dimension means that grade/subject is not truly launch-ready and must be fenced.</t>
        </is>
      </c>
      <c r="F17" s="36" t="inlineStr">
        <is>
          <t>A student account set to Grade 6 with Social Science available.</t>
        </is>
      </c>
      <c r="G17" s="36" t="inlineStr">
        <is>
          <t>1) Ask Foxy an out-of-syllabus Social Science question for Grade 6; confirm CURRICULUM_GAP, not a fabricated answer.</t>
        </is>
      </c>
      <c r="H17" s="36" t="inlineStr">
        <is>
          <t>Structured CURRICULUM_GAP returned; content_gaps logged; no hallucination.</t>
        </is>
      </c>
      <c r="I17" s="36" t="inlineStr">
        <is>
          <t>Evidence for Grade 6 Social Science — Foxy out-of-syllabus refusal (screenshot and/or SQL)</t>
        </is>
      </c>
      <c r="J17" s="41" t="inlineStr">
        <is>
          <t>NOT RUN</t>
        </is>
      </c>
      <c r="K17" s="36" t="inlineStr">
        <is>
          <t>Claude (pending env)</t>
        </is>
      </c>
      <c r="L17" s="36" t="n"/>
      <c r="M17" s="36" t="n"/>
      <c r="N17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8" ht="53.7" customHeight="1" s="29">
      <c r="A18" s="37" t="inlineStr">
        <is>
          <t>MX-CONTENT-0016</t>
        </is>
      </c>
      <c r="B18" s="54" t="inlineStr">
        <is>
          <t>P1</t>
        </is>
      </c>
      <c r="C18" s="37" t="inlineStr">
        <is>
          <t>Content/RAG</t>
        </is>
      </c>
      <c r="D18" s="37" t="inlineStr">
        <is>
          <t>Grade 6 · Social Science · Quiz generation (verified-only)</t>
        </is>
      </c>
      <c r="E18" s="37" t="inlineStr">
        <is>
          <t>Confirms the 'Quiz generation (verified-only)' dimension for Grade 6 Social Science. Coverage is proven per grade, per subject, per dimension — not claimed in aggregate. A gap on any dimension means that grade/subject is not truly launch-ready and must be fenced.</t>
        </is>
      </c>
      <c r="F18" s="37" t="inlineStr">
        <is>
          <t>A student account set to Grade 6 with Social Science available.</t>
        </is>
      </c>
      <c r="G18" s="37" t="inlineStr">
        <is>
          <t>1) Generate/take a Social Science quiz for Grade 6; collect served ids and confirm all are verification_state='verified'.</t>
        </is>
      </c>
      <c r="H18" s="37" t="inlineStr">
        <is>
          <t>Quiz generates; 100% of served questions are verified; none unverified.</t>
        </is>
      </c>
      <c r="I18" s="37" t="inlineStr">
        <is>
          <t>Evidence for Grade 6 Social Science — Quiz generation (verified-only) (screenshot and/or SQL)</t>
        </is>
      </c>
      <c r="J18" s="43" t="inlineStr">
        <is>
          <t>NOT RUN</t>
        </is>
      </c>
      <c r="K18" s="37" t="inlineStr">
        <is>
          <t>Claude (pending env)</t>
        </is>
      </c>
      <c r="L18" s="37" t="n"/>
      <c r="M18" s="37" t="n"/>
      <c r="N18" s="37" t="inlineStr">
        <is>
          <t>[T4 | Phase 4 | Claude (pending env)] Playwright/authenticated-API against running env. awaiting running staging URL + test accounts</t>
        </is>
      </c>
    </row>
    <row r="19" ht="53.7" customHeight="1" s="29">
      <c r="A19" s="36" t="inlineStr">
        <is>
          <t>MX-CONTENT-0017</t>
        </is>
      </c>
      <c r="B19" s="55" t="inlineStr">
        <is>
          <t>P2</t>
        </is>
      </c>
      <c r="C19" s="36" t="inlineStr">
        <is>
          <t>Content/RAG</t>
        </is>
      </c>
      <c r="D19" s="36" t="inlineStr">
        <is>
          <t>Grade 6 · Social Science · Readiness honesty</t>
        </is>
      </c>
      <c r="E19" s="36" t="inlineStr">
        <is>
          <t>Confirms the 'Readiness honesty' dimension for Grade 6 Social Science. Coverage is proven per grade, per subject, per dimension — not claimed in aggregate. A gap on any dimension means that grade/subject is not truly launch-ready and must be fenced.</t>
        </is>
      </c>
      <c r="F19" s="36" t="inlineStr">
        <is>
          <t>A student account set to Grade 6 with Social Science available.</t>
        </is>
      </c>
      <c r="G19" s="36" t="inlineStr">
        <is>
          <t>1) For one Grade 6 Social Science chapter, compare cbse_syllabus rag_status/chunk_count/verified count to the actual indexed rows.</t>
        </is>
      </c>
      <c r="H19" s="36" t="inlineStr">
        <is>
          <t>Stored readiness matches reality for the sampled chapter.</t>
        </is>
      </c>
      <c r="I19" s="36" t="inlineStr">
        <is>
          <t>Evidence for Grade 6 Social Science — Readiness honesty (screenshot and/or SQL)</t>
        </is>
      </c>
      <c r="J19" s="41" t="inlineStr">
        <is>
          <t>NOT RUN</t>
        </is>
      </c>
      <c r="K19" s="36" t="inlineStr">
        <is>
          <t>Claude (pending env)</t>
        </is>
      </c>
      <c r="L19" s="36" t="n"/>
      <c r="M19" s="36" t="n"/>
      <c r="N19" s="36" t="inlineStr">
        <is>
          <t>[T3 | Phase 3 | Claude (pending env)] parametrized SQL probe via live/staging Supabase. awaiting live/staging Supabase read access + A/B test accounts</t>
        </is>
      </c>
    </row>
    <row r="20" ht="53.7" customHeight="1" s="29">
      <c r="A20" s="37" t="inlineStr">
        <is>
          <t>MX-CONTENT-0018</t>
        </is>
      </c>
      <c r="B20" s="55" t="inlineStr">
        <is>
          <t>P2</t>
        </is>
      </c>
      <c r="C20" s="37" t="inlineStr">
        <is>
          <t>Content/RAG</t>
        </is>
      </c>
      <c r="D20" s="37" t="inlineStr">
        <is>
          <t>Grade 6 · Social Science · Hindi availability</t>
        </is>
      </c>
      <c r="E20" s="37" t="inlineStr">
        <is>
          <t>Confirms the 'Hindi availability' dimension for Grade 6 Social Science. Coverage is proven per grade, per subject, per dimension — not claimed in aggregate. A gap on any dimension means that grade/subject is not truly launch-ready and must be fenced.</t>
        </is>
      </c>
      <c r="F20" s="37" t="inlineStr">
        <is>
          <t>A student account set to Grade 6 with Social Science available.</t>
        </is>
      </c>
      <c r="G20" s="37" t="inlineStr">
        <is>
          <t>1) For Grade 6 Social Science, confirm Hindi content retrieves under language='hi' where indexed, or returns LANGUAGE_GAP.</t>
        </is>
      </c>
      <c r="H20" s="37" t="inlineStr">
        <is>
          <t>Hindi served where indexed; explicit LANGUAGE_GAP otherwise; never silent English.</t>
        </is>
      </c>
      <c r="I20" s="37" t="inlineStr">
        <is>
          <t>Evidence for Grade 6 Social Science — Hindi availability (screenshot and/or SQL)</t>
        </is>
      </c>
      <c r="J20" s="43" t="inlineStr">
        <is>
          <t>NOT RUN</t>
        </is>
      </c>
      <c r="K20" s="37" t="inlineStr">
        <is>
          <t>Claude (pending env)</t>
        </is>
      </c>
      <c r="L20" s="37" t="n"/>
      <c r="M20" s="37" t="n"/>
      <c r="N20" s="37" t="inlineStr">
        <is>
          <t>[T3 | Phase 3 | Claude (pending env)] parametrized SQL probe via live/staging Supabase. awaiting live/staging Supabase read access + A/B test accounts</t>
        </is>
      </c>
    </row>
    <row r="21" ht="53.7" customHeight="1" s="29">
      <c r="A21" s="36" t="inlineStr">
        <is>
          <t>MX-CONTENT-0019</t>
        </is>
      </c>
      <c r="B21" s="54" t="inlineStr">
        <is>
          <t>P1</t>
        </is>
      </c>
      <c r="C21" s="36" t="inlineStr">
        <is>
          <t>Content/RAG</t>
        </is>
      </c>
      <c r="D21" s="36" t="inlineStr">
        <is>
          <t>Grade 6 · English · Syllabus tree loads</t>
        </is>
      </c>
      <c r="E21" s="36" t="inlineStr">
        <is>
          <t>Confirms the 'Syllabus tree loads' dimension for Grade 6 English. Coverage is proven per grade, per subject, per dimension — not claimed in aggregate. A gap on any dimension means that grade/subject is not truly launch-ready and must be fenced.</t>
        </is>
      </c>
      <c r="F21" s="36" t="inlineStr">
        <is>
          <t>A student account set to Grade 6 with English available.</t>
        </is>
      </c>
      <c r="G21" s="36" t="inlineStr">
        <is>
          <t>1) Open the English syllabus for Grade 6; confirm every chapter loads and the list matches cbse_syllabus exactly.</t>
        </is>
      </c>
      <c r="H21" s="36" t="inlineStr">
        <is>
          <t>Chapter list loads and matches the canonical taxonomy; no missing/extra/duplicate chapters.</t>
        </is>
      </c>
      <c r="I21" s="36" t="inlineStr">
        <is>
          <t>Evidence for Grade 6 English — Syllabus tree loads (screenshot and/or SQL)</t>
        </is>
      </c>
      <c r="J21" s="41" t="inlineStr">
        <is>
          <t>NOT RUN</t>
        </is>
      </c>
      <c r="K21" s="36" t="inlineStr">
        <is>
          <t>Claude (pending env)</t>
        </is>
      </c>
      <c r="L21" s="36" t="n"/>
      <c r="M21" s="36" t="n"/>
      <c r="N21" s="36" t="inlineStr">
        <is>
          <t>[T4 | Phase 4 | Claude (pending env)] Playwright/authenticated-API against running env. awaiting running staging URL + test accounts</t>
        </is>
      </c>
    </row>
    <row r="22" ht="53.7" customHeight="1" s="29">
      <c r="A22" s="37" t="inlineStr">
        <is>
          <t>MX-CONTENT-0020</t>
        </is>
      </c>
      <c r="B22" s="54" t="inlineStr">
        <is>
          <t>P1</t>
        </is>
      </c>
      <c r="C22" s="37" t="inlineStr">
        <is>
          <t>Content/RAG</t>
        </is>
      </c>
      <c r="D22" s="37" t="inlineStr">
        <is>
          <t>Grade 6 · English · Foxy in-syllabus grounding</t>
        </is>
      </c>
      <c r="E22" s="37" t="inlineStr">
        <is>
          <t>Confirms the 'Foxy in-syllabus grounding' dimension for Grade 6 English. Coverage is proven per grade, per subject, per dimension — not claimed in aggregate. A gap on any dimension means that grade/subject is not truly launch-ready and must be fenced.</t>
        </is>
      </c>
      <c r="F22" s="37" t="inlineStr">
        <is>
          <t>A student account set to Grade 6 with English available.</t>
        </is>
      </c>
      <c r="G22" s="37" t="inlineStr">
        <is>
          <t>1) Ask Foxy an in-syllabus English question for Grade 6; confirm a grounded, cited answer from NCERT chunks.</t>
        </is>
      </c>
      <c r="H22" s="37" t="inlineStr">
        <is>
          <t>Answer is correct, on-syllabus, cited; grounded_ai_traces written.</t>
        </is>
      </c>
      <c r="I22" s="37" t="inlineStr">
        <is>
          <t>Evidence for Grade 6 English — Foxy in-syllabus grounding (screenshot and/or SQL)</t>
        </is>
      </c>
      <c r="J22" s="43" t="inlineStr">
        <is>
          <t>NOT RUN</t>
        </is>
      </c>
      <c r="K22" s="37" t="inlineStr">
        <is>
          <t>Claude (pending env)</t>
        </is>
      </c>
      <c r="L22" s="37" t="n"/>
      <c r="M22" s="37" t="n"/>
      <c r="N22" s="37" t="inlineStr">
        <is>
          <t>[T4 | Phase 4 | Claude (pending env)] Playwright/authenticated-API against running env. awaiting running staging URL + test accounts</t>
        </is>
      </c>
    </row>
    <row r="23" ht="53.7" customHeight="1" s="29">
      <c r="A23" s="36" t="inlineStr">
        <is>
          <t>MX-CONTENT-0021</t>
        </is>
      </c>
      <c r="B23" s="54" t="inlineStr">
        <is>
          <t>P1</t>
        </is>
      </c>
      <c r="C23" s="36" t="inlineStr">
        <is>
          <t>Content/RAG</t>
        </is>
      </c>
      <c r="D23" s="36" t="inlineStr">
        <is>
          <t>Grade 6 · English · Foxy out-of-syllabus refusal</t>
        </is>
      </c>
      <c r="E23" s="36" t="inlineStr">
        <is>
          <t>Confirms the 'Foxy out-of-syllabus refusal' dimension for Grade 6 English. Coverage is proven per grade, per subject, per dimension — not claimed in aggregate. A gap on any dimension means that grade/subject is not truly launch-ready and must be fenced.</t>
        </is>
      </c>
      <c r="F23" s="36" t="inlineStr">
        <is>
          <t>A student account set to Grade 6 with English available.</t>
        </is>
      </c>
      <c r="G23" s="36" t="inlineStr">
        <is>
          <t>1) Ask Foxy an out-of-syllabus English question for Grade 6; confirm CURRICULUM_GAP, not a fabricated answer.</t>
        </is>
      </c>
      <c r="H23" s="36" t="inlineStr">
        <is>
          <t>Structured CURRICULUM_GAP returned; content_gaps logged; no hallucination.</t>
        </is>
      </c>
      <c r="I23" s="36" t="inlineStr">
        <is>
          <t>Evidence for Grade 6 English — Foxy out-of-syllabus refusal (screenshot and/or SQL)</t>
        </is>
      </c>
      <c r="J23" s="41" t="inlineStr">
        <is>
          <t>NOT RUN</t>
        </is>
      </c>
      <c r="K23" s="36" t="inlineStr">
        <is>
          <t>Claude (pending env)</t>
        </is>
      </c>
      <c r="L23" s="36" t="n"/>
      <c r="M23" s="36" t="n"/>
      <c r="N23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24" ht="53.7" customHeight="1" s="29">
      <c r="A24" s="37" t="inlineStr">
        <is>
          <t>MX-CONTENT-0022</t>
        </is>
      </c>
      <c r="B24" s="54" t="inlineStr">
        <is>
          <t>P1</t>
        </is>
      </c>
      <c r="C24" s="37" t="inlineStr">
        <is>
          <t>Content/RAG</t>
        </is>
      </c>
      <c r="D24" s="37" t="inlineStr">
        <is>
          <t>Grade 6 · English · Quiz generation (verified-only)</t>
        </is>
      </c>
      <c r="E24" s="37" t="inlineStr">
        <is>
          <t>Confirms the 'Quiz generation (verified-only)' dimension for Grade 6 English. Coverage is proven per grade, per subject, per dimension — not claimed in aggregate. A gap on any dimension means that grade/subject is not truly launch-ready and must be fenced.</t>
        </is>
      </c>
      <c r="F24" s="37" t="inlineStr">
        <is>
          <t>A student account set to Grade 6 with English available.</t>
        </is>
      </c>
      <c r="G24" s="37" t="inlineStr">
        <is>
          <t>1) Generate/take a English quiz for Grade 6; collect served ids and confirm all are verification_state='verified'.</t>
        </is>
      </c>
      <c r="H24" s="37" t="inlineStr">
        <is>
          <t>Quiz generates; 100% of served questions are verified; none unverified.</t>
        </is>
      </c>
      <c r="I24" s="37" t="inlineStr">
        <is>
          <t>Evidence for Grade 6 English — Quiz generation (verified-only) (screenshot and/or SQL)</t>
        </is>
      </c>
      <c r="J24" s="43" t="inlineStr">
        <is>
          <t>NOT RUN</t>
        </is>
      </c>
      <c r="K24" s="37" t="inlineStr">
        <is>
          <t>Claude (pending env)</t>
        </is>
      </c>
      <c r="L24" s="37" t="n"/>
      <c r="M24" s="37" t="n"/>
      <c r="N24" s="37" t="inlineStr">
        <is>
          <t>[T4 | Phase 4 | Claude (pending env)] Playwright/authenticated-API against running env. awaiting running staging URL + test accounts</t>
        </is>
      </c>
    </row>
    <row r="25" ht="53.7" customHeight="1" s="29">
      <c r="A25" s="36" t="inlineStr">
        <is>
          <t>MX-CONTENT-0023</t>
        </is>
      </c>
      <c r="B25" s="55" t="inlineStr">
        <is>
          <t>P2</t>
        </is>
      </c>
      <c r="C25" s="36" t="inlineStr">
        <is>
          <t>Content/RAG</t>
        </is>
      </c>
      <c r="D25" s="36" t="inlineStr">
        <is>
          <t>Grade 6 · English · Readiness honesty</t>
        </is>
      </c>
      <c r="E25" s="36" t="inlineStr">
        <is>
          <t>Confirms the 'Readiness honesty' dimension for Grade 6 English. Coverage is proven per grade, per subject, per dimension — not claimed in aggregate. A gap on any dimension means that grade/subject is not truly launch-ready and must be fenced.</t>
        </is>
      </c>
      <c r="F25" s="36" t="inlineStr">
        <is>
          <t>A student account set to Grade 6 with English available.</t>
        </is>
      </c>
      <c r="G25" s="36" t="inlineStr">
        <is>
          <t>1) For one Grade 6 English chapter, compare cbse_syllabus rag_status/chunk_count/verified count to the actual indexed rows.</t>
        </is>
      </c>
      <c r="H25" s="36" t="inlineStr">
        <is>
          <t>Stored readiness matches reality for the sampled chapter.</t>
        </is>
      </c>
      <c r="I25" s="36" t="inlineStr">
        <is>
          <t>Evidence for Grade 6 English — Readiness honesty (screenshot and/or SQL)</t>
        </is>
      </c>
      <c r="J25" s="41" t="inlineStr">
        <is>
          <t>NOT RUN</t>
        </is>
      </c>
      <c r="K25" s="36" t="inlineStr">
        <is>
          <t>Claude (pending env)</t>
        </is>
      </c>
      <c r="L25" s="36" t="n"/>
      <c r="M25" s="36" t="n"/>
      <c r="N25" s="36" t="inlineStr">
        <is>
          <t>[T3 | Phase 3 | Claude (pending env)] parametrized SQL probe via live/staging Supabase. awaiting live/staging Supabase read access + A/B test accounts</t>
        </is>
      </c>
    </row>
    <row r="26" ht="43.25" customHeight="1" s="29">
      <c r="A26" s="37" t="inlineStr">
        <is>
          <t>MX-CONTENT-0024</t>
        </is>
      </c>
      <c r="B26" s="55" t="inlineStr">
        <is>
          <t>P2</t>
        </is>
      </c>
      <c r="C26" s="37" t="inlineStr">
        <is>
          <t>Content/RAG</t>
        </is>
      </c>
      <c r="D26" s="37" t="inlineStr">
        <is>
          <t>Grade 6 · English · Hindi availability</t>
        </is>
      </c>
      <c r="E26" s="37" t="inlineStr">
        <is>
          <t>Confirms the 'Hindi availability' dimension for Grade 6 English. Coverage is proven per grade, per subject, per dimension — not claimed in aggregate. A gap on any dimension means that grade/subject is not truly launch-ready and must be fenced.</t>
        </is>
      </c>
      <c r="F26" s="37" t="inlineStr">
        <is>
          <t>A student account set to Grade 6 with English available.</t>
        </is>
      </c>
      <c r="G26" s="37" t="inlineStr">
        <is>
          <t>1) For Grade 6 English, confirm Hindi content retrieves under language='hi' where indexed, or returns LANGUAGE_GAP.</t>
        </is>
      </c>
      <c r="H26" s="37" t="inlineStr">
        <is>
          <t>Hindi served where indexed; explicit LANGUAGE_GAP otherwise; never silent English.</t>
        </is>
      </c>
      <c r="I26" s="37" t="inlineStr">
        <is>
          <t>Evidence for Grade 6 English — Hindi availability (screenshot and/or SQL)</t>
        </is>
      </c>
      <c r="J26" s="43" t="inlineStr">
        <is>
          <t>NOT RUN</t>
        </is>
      </c>
      <c r="K26" s="37" t="inlineStr">
        <is>
          <t>Claude (pending env)</t>
        </is>
      </c>
      <c r="L26" s="37" t="n"/>
      <c r="M26" s="37" t="n"/>
      <c r="N26" s="37" t="inlineStr">
        <is>
          <t>[T3 | Phase 3 | Claude (pending env)] parametrized SQL probe via live/staging Supabase. awaiting live/staging Supabase read access + A/B test accounts. FINDING: LANGUAGE_GAP not implemented in code (docs only) -&gt; candidate P-defect, not auto-PASS</t>
        </is>
      </c>
    </row>
    <row r="27" ht="43.25" customHeight="1" s="29">
      <c r="A27" s="36" t="inlineStr">
        <is>
          <t>MX-CONTENT-0025</t>
        </is>
      </c>
      <c r="B27" s="54" t="inlineStr">
        <is>
          <t>P1</t>
        </is>
      </c>
      <c r="C27" s="36" t="inlineStr">
        <is>
          <t>Content/RAG</t>
        </is>
      </c>
      <c r="D27" s="36" t="inlineStr">
        <is>
          <t>Grade 6 · Hindi · Syllabus tree loads</t>
        </is>
      </c>
      <c r="E27" s="36" t="inlineStr">
        <is>
          <t>Confirms the 'Syllabus tree loads' dimension for Grade 6 Hindi. Coverage is proven per grade, per subject, per dimension — not claimed in aggregate. A gap on any dimension means that grade/subject is not truly launch-ready and must be fenced.</t>
        </is>
      </c>
      <c r="F27" s="36" t="inlineStr">
        <is>
          <t>A student account set to Grade 6 with Hindi available.</t>
        </is>
      </c>
      <c r="G27" s="36" t="inlineStr">
        <is>
          <t>1) Open the Hindi syllabus for Grade 6; confirm every chapter loads and the list matches cbse_syllabus exactly.</t>
        </is>
      </c>
      <c r="H27" s="36" t="inlineStr">
        <is>
          <t>Chapter list loads and matches the canonical taxonomy; no missing/extra/duplicate chapters.</t>
        </is>
      </c>
      <c r="I27" s="36" t="inlineStr">
        <is>
          <t>Evidence for Grade 6 Hindi — Syllabus tree loads (screenshot and/or SQL)</t>
        </is>
      </c>
      <c r="J27" s="41" t="inlineStr">
        <is>
          <t>NOT RUN</t>
        </is>
      </c>
      <c r="K27" s="36" t="inlineStr">
        <is>
          <t>Claude (pending env)</t>
        </is>
      </c>
      <c r="L27" s="36" t="n"/>
      <c r="M27" s="36" t="n"/>
      <c r="N27" s="36" t="inlineStr">
        <is>
          <t>[T4 | Phase 4 | Claude (pending env)] Playwright/authenticated-API against running env. awaiting running staging URL + test accounts</t>
        </is>
      </c>
    </row>
    <row r="28" ht="43.25" customHeight="1" s="29">
      <c r="A28" s="37" t="inlineStr">
        <is>
          <t>MX-CONTENT-0026</t>
        </is>
      </c>
      <c r="B28" s="54" t="inlineStr">
        <is>
          <t>P1</t>
        </is>
      </c>
      <c r="C28" s="37" t="inlineStr">
        <is>
          <t>Content/RAG</t>
        </is>
      </c>
      <c r="D28" s="37" t="inlineStr">
        <is>
          <t>Grade 6 · Hindi · Foxy in-syllabus grounding</t>
        </is>
      </c>
      <c r="E28" s="37" t="inlineStr">
        <is>
          <t>Confirms the 'Foxy in-syllabus grounding' dimension for Grade 6 Hindi. Coverage is proven per grade, per subject, per dimension — not claimed in aggregate. A gap on any dimension means that grade/subject is not truly launch-ready and must be fenced.</t>
        </is>
      </c>
      <c r="F28" s="37" t="inlineStr">
        <is>
          <t>A student account set to Grade 6 with Hindi available.</t>
        </is>
      </c>
      <c r="G28" s="37" t="inlineStr">
        <is>
          <t>1) Ask Foxy an in-syllabus Hindi question for Grade 6; confirm a grounded, cited answer from NCERT chunks.</t>
        </is>
      </c>
      <c r="H28" s="37" t="inlineStr">
        <is>
          <t>Answer is correct, on-syllabus, cited; grounded_ai_traces written.</t>
        </is>
      </c>
      <c r="I28" s="37" t="inlineStr">
        <is>
          <t>Evidence for Grade 6 Hindi — Foxy in-syllabus grounding (screenshot and/or SQL)</t>
        </is>
      </c>
      <c r="J28" s="43" t="inlineStr">
        <is>
          <t>NOT RUN</t>
        </is>
      </c>
      <c r="K28" s="37" t="inlineStr">
        <is>
          <t>Claude (pending env)</t>
        </is>
      </c>
      <c r="L28" s="37" t="n"/>
      <c r="M28" s="37" t="n"/>
      <c r="N28" s="37" t="inlineStr">
        <is>
          <t>[T4 | Phase 4 | Claude (pending env)] Playwright/authenticated-API against running env. awaiting running staging URL + test accounts</t>
        </is>
      </c>
    </row>
    <row r="29" ht="53.7" customHeight="1" s="29">
      <c r="A29" s="36" t="inlineStr">
        <is>
          <t>MX-CONTENT-0027</t>
        </is>
      </c>
      <c r="B29" s="54" t="inlineStr">
        <is>
          <t>P1</t>
        </is>
      </c>
      <c r="C29" s="36" t="inlineStr">
        <is>
          <t>Content/RAG</t>
        </is>
      </c>
      <c r="D29" s="36" t="inlineStr">
        <is>
          <t>Grade 6 · Hindi · Foxy out-of-syllabus refusal</t>
        </is>
      </c>
      <c r="E29" s="36" t="inlineStr">
        <is>
          <t>Confirms the 'Foxy out-of-syllabus refusal' dimension for Grade 6 Hindi. Coverage is proven per grade, per subject, per dimension — not claimed in aggregate. A gap on any dimension means that grade/subject is not truly launch-ready and must be fenced.</t>
        </is>
      </c>
      <c r="F29" s="36" t="inlineStr">
        <is>
          <t>A student account set to Grade 6 with Hindi available.</t>
        </is>
      </c>
      <c r="G29" s="36" t="inlineStr">
        <is>
          <t>1) Ask Foxy an out-of-syllabus Hindi question for Grade 6; confirm CURRICULUM_GAP, not a fabricated answer.</t>
        </is>
      </c>
      <c r="H29" s="36" t="inlineStr">
        <is>
          <t>Structured CURRICULUM_GAP returned; content_gaps logged; no hallucination.</t>
        </is>
      </c>
      <c r="I29" s="36" t="inlineStr">
        <is>
          <t>Evidence for Grade 6 Hindi — Foxy out-of-syllabus refusal (screenshot and/or SQL)</t>
        </is>
      </c>
      <c r="J29" s="41" t="inlineStr">
        <is>
          <t>NOT RUN</t>
        </is>
      </c>
      <c r="K29" s="36" t="inlineStr">
        <is>
          <t>Claude (pending env)</t>
        </is>
      </c>
      <c r="L29" s="36" t="n"/>
      <c r="M29" s="36" t="n"/>
      <c r="N29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30" ht="53.7" customHeight="1" s="29">
      <c r="A30" s="37" t="inlineStr">
        <is>
          <t>MX-CONTENT-0028</t>
        </is>
      </c>
      <c r="B30" s="54" t="inlineStr">
        <is>
          <t>P1</t>
        </is>
      </c>
      <c r="C30" s="37" t="inlineStr">
        <is>
          <t>Content/RAG</t>
        </is>
      </c>
      <c r="D30" s="37" t="inlineStr">
        <is>
          <t>Grade 6 · Hindi · Quiz generation (verified-only)</t>
        </is>
      </c>
      <c r="E30" s="37" t="inlineStr">
        <is>
          <t>Confirms the 'Quiz generation (verified-only)' dimension for Grade 6 Hindi. Coverage is proven per grade, per subject, per dimension — not claimed in aggregate. A gap on any dimension means that grade/subject is not truly launch-ready and must be fenced.</t>
        </is>
      </c>
      <c r="F30" s="37" t="inlineStr">
        <is>
          <t>A student account set to Grade 6 with Hindi available.</t>
        </is>
      </c>
      <c r="G30" s="37" t="inlineStr">
        <is>
          <t>1) Generate/take a Hindi quiz for Grade 6; collect served ids and confirm all are verification_state='verified'.</t>
        </is>
      </c>
      <c r="H30" s="37" t="inlineStr">
        <is>
          <t>Quiz generates; 100% of served questions are verified; none unverified.</t>
        </is>
      </c>
      <c r="I30" s="37" t="inlineStr">
        <is>
          <t>Evidence for Grade 6 Hindi — Quiz generation (verified-only) (screenshot and/or SQL)</t>
        </is>
      </c>
      <c r="J30" s="43" t="inlineStr">
        <is>
          <t>NOT RUN</t>
        </is>
      </c>
      <c r="K30" s="37" t="inlineStr">
        <is>
          <t>Claude (pending env)</t>
        </is>
      </c>
      <c r="L30" s="37" t="n"/>
      <c r="M30" s="37" t="n"/>
      <c r="N30" s="37" t="inlineStr">
        <is>
          <t>[T4 | Phase 4 | Claude (pending env)] Playwright/authenticated-API against running env. awaiting running staging URL + test accounts</t>
        </is>
      </c>
    </row>
    <row r="31" ht="43.25" customHeight="1" s="29">
      <c r="A31" s="36" t="inlineStr">
        <is>
          <t>MX-CONTENT-0029</t>
        </is>
      </c>
      <c r="B31" s="55" t="inlineStr">
        <is>
          <t>P2</t>
        </is>
      </c>
      <c r="C31" s="36" t="inlineStr">
        <is>
          <t>Content/RAG</t>
        </is>
      </c>
      <c r="D31" s="36" t="inlineStr">
        <is>
          <t>Grade 6 · Hindi · Readiness honesty</t>
        </is>
      </c>
      <c r="E31" s="36" t="inlineStr">
        <is>
          <t>Confirms the 'Readiness honesty' dimension for Grade 6 Hindi. Coverage is proven per grade, per subject, per dimension — not claimed in aggregate. A gap on any dimension means that grade/subject is not truly launch-ready and must be fenced.</t>
        </is>
      </c>
      <c r="F31" s="36" t="inlineStr">
        <is>
          <t>A student account set to Grade 6 with Hindi available.</t>
        </is>
      </c>
      <c r="G31" s="36" t="inlineStr">
        <is>
          <t>1) For one Grade 6 Hindi chapter, compare cbse_syllabus rag_status/chunk_count/verified count to the actual indexed rows.</t>
        </is>
      </c>
      <c r="H31" s="36" t="inlineStr">
        <is>
          <t>Stored readiness matches reality for the sampled chapter.</t>
        </is>
      </c>
      <c r="I31" s="36" t="inlineStr">
        <is>
          <t>Evidence for Grade 6 Hindi — Readiness honesty (screenshot and/or SQL)</t>
        </is>
      </c>
      <c r="J31" s="41" t="inlineStr">
        <is>
          <t>NOT RUN</t>
        </is>
      </c>
      <c r="K31" s="36" t="inlineStr">
        <is>
          <t>Claude (pending env)</t>
        </is>
      </c>
      <c r="L31" s="36" t="n"/>
      <c r="M31" s="36" t="n"/>
      <c r="N31" s="36" t="inlineStr">
        <is>
          <t>[T3 | Phase 3 | Claude (pending env)] parametrized SQL probe via live/staging Supabase. awaiting live/staging Supabase read access + A/B test accounts</t>
        </is>
      </c>
    </row>
    <row r="32" ht="43.25" customHeight="1" s="29">
      <c r="A32" s="37" t="inlineStr">
        <is>
          <t>MX-CONTENT-0030</t>
        </is>
      </c>
      <c r="B32" s="55" t="inlineStr">
        <is>
          <t>P2</t>
        </is>
      </c>
      <c r="C32" s="37" t="inlineStr">
        <is>
          <t>Content/RAG</t>
        </is>
      </c>
      <c r="D32" s="37" t="inlineStr">
        <is>
          <t>Grade 6 · Hindi · Hindi availability</t>
        </is>
      </c>
      <c r="E32" s="37" t="inlineStr">
        <is>
          <t>Confirms the 'Hindi availability' dimension for Grade 6 Hindi. Coverage is proven per grade, per subject, per dimension — not claimed in aggregate. A gap on any dimension means that grade/subject is not truly launch-ready and must be fenced.</t>
        </is>
      </c>
      <c r="F32" s="37" t="inlineStr">
        <is>
          <t>A student account set to Grade 6 with Hindi available.</t>
        </is>
      </c>
      <c r="G32" s="37" t="inlineStr">
        <is>
          <t>1) For Grade 6 Hindi, confirm Hindi content retrieves under language='hi' where indexed, or returns LANGUAGE_GAP.</t>
        </is>
      </c>
      <c r="H32" s="37" t="inlineStr">
        <is>
          <t>Hindi served where indexed; explicit LANGUAGE_GAP otherwise; never silent English.</t>
        </is>
      </c>
      <c r="I32" s="37" t="inlineStr">
        <is>
          <t>Evidence for Grade 6 Hindi — Hindi availability (screenshot and/or SQL)</t>
        </is>
      </c>
      <c r="J32" s="43" t="inlineStr">
        <is>
          <t>NOT RUN</t>
        </is>
      </c>
      <c r="K32" s="37" t="inlineStr">
        <is>
          <t>Claude (pending env)</t>
        </is>
      </c>
      <c r="L32" s="37" t="n"/>
      <c r="M32" s="37" t="n"/>
      <c r="N32" s="37" t="inlineStr">
        <is>
          <t>[T3 | Phase 3 | Claude (pending env)] parametrized SQL probe via live/staging Supabase. awaiting live/staging Supabase read access + A/B test accounts</t>
        </is>
      </c>
    </row>
    <row r="33" ht="43.25" customHeight="1" s="29">
      <c r="A33" s="36" t="inlineStr">
        <is>
          <t>MX-CONTENT-0031</t>
        </is>
      </c>
      <c r="B33" s="54" t="inlineStr">
        <is>
          <t>P1</t>
        </is>
      </c>
      <c r="C33" s="36" t="inlineStr">
        <is>
          <t>Content/RAG</t>
        </is>
      </c>
      <c r="D33" s="36" t="inlineStr">
        <is>
          <t>Grade 7 · Maths · Syllabus tree loads</t>
        </is>
      </c>
      <c r="E33" s="36" t="inlineStr">
        <is>
          <t>Confirms the 'Syllabus tree loads' dimension for Grade 7 Maths. Coverage is proven per grade, per subject, per dimension — not claimed in aggregate. A gap on any dimension means that grade/subject is not truly launch-ready and must be fenced.</t>
        </is>
      </c>
      <c r="F33" s="36" t="inlineStr">
        <is>
          <t>A student account set to Grade 7 with Maths available.</t>
        </is>
      </c>
      <c r="G33" s="36" t="inlineStr">
        <is>
          <t>1) Open the Maths syllabus for Grade 7; confirm every chapter loads and the list matches cbse_syllabus exactly.</t>
        </is>
      </c>
      <c r="H33" s="36" t="inlineStr">
        <is>
          <t>Chapter list loads and matches the canonical taxonomy; no missing/extra/duplicate chapters.</t>
        </is>
      </c>
      <c r="I33" s="36" t="inlineStr">
        <is>
          <t>Evidence for Grade 7 Maths — Syllabus tree loads (screenshot and/or SQL)</t>
        </is>
      </c>
      <c r="J33" s="41" t="inlineStr">
        <is>
          <t>NOT RUN</t>
        </is>
      </c>
      <c r="K33" s="36" t="inlineStr">
        <is>
          <t>Claude (pending env)</t>
        </is>
      </c>
      <c r="L33" s="36" t="n"/>
      <c r="M33" s="36" t="n"/>
      <c r="N33" s="36" t="inlineStr">
        <is>
          <t>[T4 | Phase 4 | Claude (pending env)] Playwright/authenticated-API against running env. awaiting running staging URL + test accounts</t>
        </is>
      </c>
    </row>
    <row r="34" ht="53.7" customHeight="1" s="29">
      <c r="A34" s="37" t="inlineStr">
        <is>
          <t>MX-CONTENT-0032</t>
        </is>
      </c>
      <c r="B34" s="54" t="inlineStr">
        <is>
          <t>P1</t>
        </is>
      </c>
      <c r="C34" s="37" t="inlineStr">
        <is>
          <t>Content/RAG</t>
        </is>
      </c>
      <c r="D34" s="37" t="inlineStr">
        <is>
          <t>Grade 7 · Maths · Foxy in-syllabus grounding</t>
        </is>
      </c>
      <c r="E34" s="37" t="inlineStr">
        <is>
          <t>Confirms the 'Foxy in-syllabus grounding' dimension for Grade 7 Maths. Coverage is proven per grade, per subject, per dimension — not claimed in aggregate. A gap on any dimension means that grade/subject is not truly launch-ready and must be fenced.</t>
        </is>
      </c>
      <c r="F34" s="37" t="inlineStr">
        <is>
          <t>A student account set to Grade 7 with Maths available.</t>
        </is>
      </c>
      <c r="G34" s="37" t="inlineStr">
        <is>
          <t>1) Ask Foxy an in-syllabus Maths question for Grade 7; confirm a grounded, cited answer from NCERT chunks.</t>
        </is>
      </c>
      <c r="H34" s="37" t="inlineStr">
        <is>
          <t>Answer is correct, on-syllabus, cited; grounded_ai_traces written.</t>
        </is>
      </c>
      <c r="I34" s="37" t="inlineStr">
        <is>
          <t>Evidence for Grade 7 Maths — Foxy in-syllabus grounding (screenshot and/or SQL)</t>
        </is>
      </c>
      <c r="J34" s="43" t="inlineStr">
        <is>
          <t>NOT RUN</t>
        </is>
      </c>
      <c r="K34" s="37" t="inlineStr">
        <is>
          <t>Claude (pending env)</t>
        </is>
      </c>
      <c r="L34" s="37" t="n"/>
      <c r="M34" s="37" t="n"/>
      <c r="N34" s="37" t="inlineStr">
        <is>
          <t>[T4 | Phase 4 | Claude (pending env)] Playwright/authenticated-API against running env. awaiting running staging URL + test accounts</t>
        </is>
      </c>
    </row>
    <row r="35" ht="53.7" customHeight="1" s="29">
      <c r="A35" s="36" t="inlineStr">
        <is>
          <t>MX-CONTENT-0033</t>
        </is>
      </c>
      <c r="B35" s="54" t="inlineStr">
        <is>
          <t>P1</t>
        </is>
      </c>
      <c r="C35" s="36" t="inlineStr">
        <is>
          <t>Content/RAG</t>
        </is>
      </c>
      <c r="D35" s="36" t="inlineStr">
        <is>
          <t>Grade 7 · Maths · Foxy out-of-syllabus refusal</t>
        </is>
      </c>
      <c r="E35" s="36" t="inlineStr">
        <is>
          <t>Confirms the 'Foxy out-of-syllabus refusal' dimension for Grade 7 Maths. Coverage is proven per grade, per subject, per dimension — not claimed in aggregate. A gap on any dimension means that grade/subject is not truly launch-ready and must be fenced.</t>
        </is>
      </c>
      <c r="F35" s="36" t="inlineStr">
        <is>
          <t>A student account set to Grade 7 with Maths available.</t>
        </is>
      </c>
      <c r="G35" s="36" t="inlineStr">
        <is>
          <t>1) Ask Foxy an out-of-syllabus Maths question for Grade 7; confirm CURRICULUM_GAP, not a fabricated answer.</t>
        </is>
      </c>
      <c r="H35" s="36" t="inlineStr">
        <is>
          <t>Structured CURRICULUM_GAP returned; content_gaps logged; no hallucination.</t>
        </is>
      </c>
      <c r="I35" s="36" t="inlineStr">
        <is>
          <t>Evidence for Grade 7 Maths — Foxy out-of-syllabus refusal (screenshot and/or SQL)</t>
        </is>
      </c>
      <c r="J35" s="41" t="inlineStr">
        <is>
          <t>NOT RUN</t>
        </is>
      </c>
      <c r="K35" s="36" t="inlineStr">
        <is>
          <t>Claude (pending env)</t>
        </is>
      </c>
      <c r="L35" s="36" t="n"/>
      <c r="M35" s="36" t="n"/>
      <c r="N35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36" ht="53.7" customHeight="1" s="29">
      <c r="A36" s="37" t="inlineStr">
        <is>
          <t>MX-CONTENT-0034</t>
        </is>
      </c>
      <c r="B36" s="54" t="inlineStr">
        <is>
          <t>P1</t>
        </is>
      </c>
      <c r="C36" s="37" t="inlineStr">
        <is>
          <t>Content/RAG</t>
        </is>
      </c>
      <c r="D36" s="37" t="inlineStr">
        <is>
          <t>Grade 7 · Maths · Quiz generation (verified-only)</t>
        </is>
      </c>
      <c r="E36" s="37" t="inlineStr">
        <is>
          <t>Confirms the 'Quiz generation (verified-only)' dimension for Grade 7 Maths. Coverage is proven per grade, per subject, per dimension — not claimed in aggregate. A gap on any dimension means that grade/subject is not truly launch-ready and must be fenced.</t>
        </is>
      </c>
      <c r="F36" s="37" t="inlineStr">
        <is>
          <t>A student account set to Grade 7 with Maths available.</t>
        </is>
      </c>
      <c r="G36" s="37" t="inlineStr">
        <is>
          <t>1) Generate/take a Maths quiz for Grade 7; collect served ids and confirm all are verification_state='verified'.</t>
        </is>
      </c>
      <c r="H36" s="37" t="inlineStr">
        <is>
          <t>Quiz generates; 100% of served questions are verified; none unverified.</t>
        </is>
      </c>
      <c r="I36" s="37" t="inlineStr">
        <is>
          <t>Evidence for Grade 7 Maths — Quiz generation (verified-only) (screenshot and/or SQL)</t>
        </is>
      </c>
      <c r="J36" s="43" t="inlineStr">
        <is>
          <t>NOT RUN</t>
        </is>
      </c>
      <c r="K36" s="37" t="inlineStr">
        <is>
          <t>Claude (pending env)</t>
        </is>
      </c>
      <c r="L36" s="37" t="n"/>
      <c r="M36" s="37" t="n"/>
      <c r="N36" s="37" t="inlineStr">
        <is>
          <t>[T4 | Phase 4 | Claude (pending env)] Playwright/authenticated-API against running env. awaiting running staging URL + test accounts</t>
        </is>
      </c>
    </row>
    <row r="37" ht="43.25" customHeight="1" s="29">
      <c r="A37" s="36" t="inlineStr">
        <is>
          <t>MX-CONTENT-0035</t>
        </is>
      </c>
      <c r="B37" s="55" t="inlineStr">
        <is>
          <t>P2</t>
        </is>
      </c>
      <c r="C37" s="36" t="inlineStr">
        <is>
          <t>Content/RAG</t>
        </is>
      </c>
      <c r="D37" s="36" t="inlineStr">
        <is>
          <t>Grade 7 · Maths · Readiness honesty</t>
        </is>
      </c>
      <c r="E37" s="36" t="inlineStr">
        <is>
          <t>Confirms the 'Readiness honesty' dimension for Grade 7 Maths. Coverage is proven per grade, per subject, per dimension — not claimed in aggregate. A gap on any dimension means that grade/subject is not truly launch-ready and must be fenced.</t>
        </is>
      </c>
      <c r="F37" s="36" t="inlineStr">
        <is>
          <t>A student account set to Grade 7 with Maths available.</t>
        </is>
      </c>
      <c r="G37" s="36" t="inlineStr">
        <is>
          <t>1) For one Grade 7 Maths chapter, compare cbse_syllabus rag_status/chunk_count/verified count to the actual indexed rows.</t>
        </is>
      </c>
      <c r="H37" s="36" t="inlineStr">
        <is>
          <t>Stored readiness matches reality for the sampled chapter.</t>
        </is>
      </c>
      <c r="I37" s="36" t="inlineStr">
        <is>
          <t>Evidence for Grade 7 Maths — Readiness honesty (screenshot and/or SQL)</t>
        </is>
      </c>
      <c r="J37" s="41" t="inlineStr">
        <is>
          <t>NOT RUN</t>
        </is>
      </c>
      <c r="K37" s="36" t="inlineStr">
        <is>
          <t>Claude (pending env)</t>
        </is>
      </c>
      <c r="L37" s="36" t="n"/>
      <c r="M37" s="36" t="n"/>
      <c r="N37" s="36" t="inlineStr">
        <is>
          <t>[T3 | Phase 3 | Claude (pending env)] parametrized SQL probe via live/staging Supabase. awaiting live/staging Supabase read access + A/B test accounts</t>
        </is>
      </c>
    </row>
    <row r="38" ht="43.25" customHeight="1" s="29">
      <c r="A38" s="37" t="inlineStr">
        <is>
          <t>MX-CONTENT-0036</t>
        </is>
      </c>
      <c r="B38" s="55" t="inlineStr">
        <is>
          <t>P2</t>
        </is>
      </c>
      <c r="C38" s="37" t="inlineStr">
        <is>
          <t>Content/RAG</t>
        </is>
      </c>
      <c r="D38" s="37" t="inlineStr">
        <is>
          <t>Grade 7 · Maths · Hindi availability</t>
        </is>
      </c>
      <c r="E38" s="37" t="inlineStr">
        <is>
          <t>Confirms the 'Hindi availability' dimension for Grade 7 Maths. Coverage is proven per grade, per subject, per dimension — not claimed in aggregate. A gap on any dimension means that grade/subject is not truly launch-ready and must be fenced.</t>
        </is>
      </c>
      <c r="F38" s="37" t="inlineStr">
        <is>
          <t>A student account set to Grade 7 with Maths available.</t>
        </is>
      </c>
      <c r="G38" s="37" t="inlineStr">
        <is>
          <t>1) For Grade 7 Maths, confirm Hindi content retrieves under language='hi' where indexed, or returns LANGUAGE_GAP.</t>
        </is>
      </c>
      <c r="H38" s="37" t="inlineStr">
        <is>
          <t>Hindi served where indexed; explicit LANGUAGE_GAP otherwise; never silent English.</t>
        </is>
      </c>
      <c r="I38" s="37" t="inlineStr">
        <is>
          <t>Evidence for Grade 7 Maths — Hindi availability (screenshot and/or SQL)</t>
        </is>
      </c>
      <c r="J38" s="43" t="inlineStr">
        <is>
          <t>NOT RUN</t>
        </is>
      </c>
      <c r="K38" s="37" t="inlineStr">
        <is>
          <t>Claude (pending env)</t>
        </is>
      </c>
      <c r="L38" s="37" t="n"/>
      <c r="M38" s="37" t="n"/>
      <c r="N38" s="37" t="inlineStr">
        <is>
          <t>[T3 | Phase 3 | Claude (pending env)] parametrized SQL probe via live/staging Supabase. awaiting live/staging Supabase read access + A/B test accounts</t>
        </is>
      </c>
    </row>
    <row r="39" ht="53.7" customHeight="1" s="29">
      <c r="A39" s="36" t="inlineStr">
        <is>
          <t>MX-CONTENT-0037</t>
        </is>
      </c>
      <c r="B39" s="54" t="inlineStr">
        <is>
          <t>P1</t>
        </is>
      </c>
      <c r="C39" s="36" t="inlineStr">
        <is>
          <t>Content/RAG</t>
        </is>
      </c>
      <c r="D39" s="36" t="inlineStr">
        <is>
          <t>Grade 7 · Science · Syllabus tree loads</t>
        </is>
      </c>
      <c r="E39" s="36" t="inlineStr">
        <is>
          <t>Confirms the 'Syllabus tree loads' dimension for Grade 7 Science. Coverage is proven per grade, per subject, per dimension — not claimed in aggregate. A gap on any dimension means that grade/subject is not truly launch-ready and must be fenced.</t>
        </is>
      </c>
      <c r="F39" s="36" t="inlineStr">
        <is>
          <t>A student account set to Grade 7 with Science available.</t>
        </is>
      </c>
      <c r="G39" s="36" t="inlineStr">
        <is>
          <t>1) Open the Science syllabus for Grade 7; confirm every chapter loads and the list matches cbse_syllabus exactly.</t>
        </is>
      </c>
      <c r="H39" s="36" t="inlineStr">
        <is>
          <t>Chapter list loads and matches the canonical taxonomy; no missing/extra/duplicate chapters.</t>
        </is>
      </c>
      <c r="I39" s="36" t="inlineStr">
        <is>
          <t>Evidence for Grade 7 Science — Syllabus tree loads (screenshot and/or SQL)</t>
        </is>
      </c>
      <c r="J39" s="41" t="inlineStr">
        <is>
          <t>NOT RUN</t>
        </is>
      </c>
      <c r="K39" s="36" t="inlineStr">
        <is>
          <t>Claude (pending env)</t>
        </is>
      </c>
      <c r="L39" s="36" t="n"/>
      <c r="M39" s="36" t="n"/>
      <c r="N39" s="36" t="inlineStr">
        <is>
          <t>[T4 | Phase 4 | Claude (pending env)] Playwright/authenticated-API against running env. awaiting running staging URL + test accounts</t>
        </is>
      </c>
    </row>
    <row r="40" ht="53.7" customHeight="1" s="29">
      <c r="A40" s="37" t="inlineStr">
        <is>
          <t>MX-CONTENT-0038</t>
        </is>
      </c>
      <c r="B40" s="54" t="inlineStr">
        <is>
          <t>P1</t>
        </is>
      </c>
      <c r="C40" s="37" t="inlineStr">
        <is>
          <t>Content/RAG</t>
        </is>
      </c>
      <c r="D40" s="37" t="inlineStr">
        <is>
          <t>Grade 7 · Science · Foxy in-syllabus grounding</t>
        </is>
      </c>
      <c r="E40" s="37" t="inlineStr">
        <is>
          <t>Confirms the 'Foxy in-syllabus grounding' dimension for Grade 7 Science. Coverage is proven per grade, per subject, per dimension — not claimed in aggregate. A gap on any dimension means that grade/subject is not truly launch-ready and must be fenced.</t>
        </is>
      </c>
      <c r="F40" s="37" t="inlineStr">
        <is>
          <t>A student account set to Grade 7 with Science available.</t>
        </is>
      </c>
      <c r="G40" s="37" t="inlineStr">
        <is>
          <t>1) Ask Foxy an in-syllabus Science question for Grade 7; confirm a grounded, cited answer from NCERT chunks.</t>
        </is>
      </c>
      <c r="H40" s="37" t="inlineStr">
        <is>
          <t>Answer is correct, on-syllabus, cited; grounded_ai_traces written.</t>
        </is>
      </c>
      <c r="I40" s="37" t="inlineStr">
        <is>
          <t>Evidence for Grade 7 Science — Foxy in-syllabus grounding (screenshot and/or SQL)</t>
        </is>
      </c>
      <c r="J40" s="43" t="inlineStr">
        <is>
          <t>NOT RUN</t>
        </is>
      </c>
      <c r="K40" s="37" t="inlineStr">
        <is>
          <t>Claude (pending env)</t>
        </is>
      </c>
      <c r="L40" s="37" t="n"/>
      <c r="M40" s="37" t="n"/>
      <c r="N40" s="37" t="inlineStr">
        <is>
          <t>[T4 | Phase 4 | Claude (pending env)] Playwright/authenticated-API against running env. awaiting running staging URL + test accounts</t>
        </is>
      </c>
    </row>
    <row r="41" ht="53.7" customHeight="1" s="29">
      <c r="A41" s="36" t="inlineStr">
        <is>
          <t>MX-CONTENT-0039</t>
        </is>
      </c>
      <c r="B41" s="54" t="inlineStr">
        <is>
          <t>P1</t>
        </is>
      </c>
      <c r="C41" s="36" t="inlineStr">
        <is>
          <t>Content/RAG</t>
        </is>
      </c>
      <c r="D41" s="36" t="inlineStr">
        <is>
          <t>Grade 7 · Science · Foxy out-of-syllabus refusal</t>
        </is>
      </c>
      <c r="E41" s="36" t="inlineStr">
        <is>
          <t>Confirms the 'Foxy out-of-syllabus refusal' dimension for Grade 7 Science. Coverage is proven per grade, per subject, per dimension — not claimed in aggregate. A gap on any dimension means that grade/subject is not truly launch-ready and must be fenced.</t>
        </is>
      </c>
      <c r="F41" s="36" t="inlineStr">
        <is>
          <t>A student account set to Grade 7 with Science available.</t>
        </is>
      </c>
      <c r="G41" s="36" t="inlineStr">
        <is>
          <t>1) Ask Foxy an out-of-syllabus Science question for Grade 7; confirm CURRICULUM_GAP, not a fabricated answer.</t>
        </is>
      </c>
      <c r="H41" s="36" t="inlineStr">
        <is>
          <t>Structured CURRICULUM_GAP returned; content_gaps logged; no hallucination.</t>
        </is>
      </c>
      <c r="I41" s="36" t="inlineStr">
        <is>
          <t>Evidence for Grade 7 Science — Foxy out-of-syllabus refusal (screenshot and/or SQL)</t>
        </is>
      </c>
      <c r="J41" s="41" t="inlineStr">
        <is>
          <t>NOT RUN</t>
        </is>
      </c>
      <c r="K41" s="36" t="inlineStr">
        <is>
          <t>Claude (pending env)</t>
        </is>
      </c>
      <c r="L41" s="36" t="n"/>
      <c r="M41" s="36" t="n"/>
      <c r="N41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42" ht="53.7" customHeight="1" s="29">
      <c r="A42" s="37" t="inlineStr">
        <is>
          <t>MX-CONTENT-0040</t>
        </is>
      </c>
      <c r="B42" s="54" t="inlineStr">
        <is>
          <t>P1</t>
        </is>
      </c>
      <c r="C42" s="37" t="inlineStr">
        <is>
          <t>Content/RAG</t>
        </is>
      </c>
      <c r="D42" s="37" t="inlineStr">
        <is>
          <t>Grade 7 · Science · Quiz generation (verified-only)</t>
        </is>
      </c>
      <c r="E42" s="37" t="inlineStr">
        <is>
          <t>Confirms the 'Quiz generation (verified-only)' dimension for Grade 7 Science. Coverage is proven per grade, per subject, per dimension — not claimed in aggregate. A gap on any dimension means that grade/subject is not truly launch-ready and must be fenced.</t>
        </is>
      </c>
      <c r="F42" s="37" t="inlineStr">
        <is>
          <t>A student account set to Grade 7 with Science available.</t>
        </is>
      </c>
      <c r="G42" s="37" t="inlineStr">
        <is>
          <t>1) Generate/take a Science quiz for Grade 7; collect served ids and confirm all are verification_state='verified'.</t>
        </is>
      </c>
      <c r="H42" s="37" t="inlineStr">
        <is>
          <t>Quiz generates; 100% of served questions are verified; none unverified.</t>
        </is>
      </c>
      <c r="I42" s="37" t="inlineStr">
        <is>
          <t>Evidence for Grade 7 Science — Quiz generation (verified-only) (screenshot and/or SQL)</t>
        </is>
      </c>
      <c r="J42" s="43" t="inlineStr">
        <is>
          <t>NOT RUN</t>
        </is>
      </c>
      <c r="K42" s="37" t="inlineStr">
        <is>
          <t>Claude (pending env)</t>
        </is>
      </c>
      <c r="L42" s="37" t="n"/>
      <c r="M42" s="37" t="n"/>
      <c r="N42" s="37" t="inlineStr">
        <is>
          <t>[T4 | Phase 4 | Claude (pending env)] Playwright/authenticated-API against running env. awaiting running staging URL + test accounts</t>
        </is>
      </c>
    </row>
    <row r="43" ht="53.7" customHeight="1" s="29">
      <c r="A43" s="36" t="inlineStr">
        <is>
          <t>MX-CONTENT-0041</t>
        </is>
      </c>
      <c r="B43" s="55" t="inlineStr">
        <is>
          <t>P2</t>
        </is>
      </c>
      <c r="C43" s="36" t="inlineStr">
        <is>
          <t>Content/RAG</t>
        </is>
      </c>
      <c r="D43" s="36" t="inlineStr">
        <is>
          <t>Grade 7 · Science · Readiness honesty</t>
        </is>
      </c>
      <c r="E43" s="36" t="inlineStr">
        <is>
          <t>Confirms the 'Readiness honesty' dimension for Grade 7 Science. Coverage is proven per grade, per subject, per dimension — not claimed in aggregate. A gap on any dimension means that grade/subject is not truly launch-ready and must be fenced.</t>
        </is>
      </c>
      <c r="F43" s="36" t="inlineStr">
        <is>
          <t>A student account set to Grade 7 with Science available.</t>
        </is>
      </c>
      <c r="G43" s="36" t="inlineStr">
        <is>
          <t>1) For one Grade 7 Science chapter, compare cbse_syllabus rag_status/chunk_count/verified count to the actual indexed rows.</t>
        </is>
      </c>
      <c r="H43" s="36" t="inlineStr">
        <is>
          <t>Stored readiness matches reality for the sampled chapter.</t>
        </is>
      </c>
      <c r="I43" s="36" t="inlineStr">
        <is>
          <t>Evidence for Grade 7 Science — Readiness honesty (screenshot and/or SQL)</t>
        </is>
      </c>
      <c r="J43" s="41" t="inlineStr">
        <is>
          <t>NOT RUN</t>
        </is>
      </c>
      <c r="K43" s="36" t="inlineStr">
        <is>
          <t>Claude (pending env)</t>
        </is>
      </c>
      <c r="L43" s="36" t="n"/>
      <c r="M43" s="36" t="n"/>
      <c r="N43" s="36" t="inlineStr">
        <is>
          <t>[T3 | Phase 3 | Claude (pending env)] parametrized SQL probe via live/staging Supabase. awaiting live/staging Supabase read access + A/B test accounts</t>
        </is>
      </c>
    </row>
    <row r="44" ht="43.25" customHeight="1" s="29">
      <c r="A44" s="37" t="inlineStr">
        <is>
          <t>MX-CONTENT-0042</t>
        </is>
      </c>
      <c r="B44" s="55" t="inlineStr">
        <is>
          <t>P2</t>
        </is>
      </c>
      <c r="C44" s="37" t="inlineStr">
        <is>
          <t>Content/RAG</t>
        </is>
      </c>
      <c r="D44" s="37" t="inlineStr">
        <is>
          <t>Grade 7 · Science · Hindi availability</t>
        </is>
      </c>
      <c r="E44" s="37" t="inlineStr">
        <is>
          <t>Confirms the 'Hindi availability' dimension for Grade 7 Science. Coverage is proven per grade, per subject, per dimension — not claimed in aggregate. A gap on any dimension means that grade/subject is not truly launch-ready and must be fenced.</t>
        </is>
      </c>
      <c r="F44" s="37" t="inlineStr">
        <is>
          <t>A student account set to Grade 7 with Science available.</t>
        </is>
      </c>
      <c r="G44" s="37" t="inlineStr">
        <is>
          <t>1) For Grade 7 Science, confirm Hindi content retrieves under language='hi' where indexed, or returns LANGUAGE_GAP.</t>
        </is>
      </c>
      <c r="H44" s="37" t="inlineStr">
        <is>
          <t>Hindi served where indexed; explicit LANGUAGE_GAP otherwise; never silent English.</t>
        </is>
      </c>
      <c r="I44" s="37" t="inlineStr">
        <is>
          <t>Evidence for Grade 7 Science — Hindi availability (screenshot and/or SQL)</t>
        </is>
      </c>
      <c r="J44" s="43" t="inlineStr">
        <is>
          <t>NOT RUN</t>
        </is>
      </c>
      <c r="K44" s="37" t="inlineStr">
        <is>
          <t>Claude (pending env)</t>
        </is>
      </c>
      <c r="L44" s="37" t="n"/>
      <c r="M44" s="37" t="n"/>
      <c r="N44" s="37" t="inlineStr">
        <is>
          <t>[T3 | Phase 3 | Claude (pending env)] parametrized SQL probe via live/staging Supabase. awaiting live/staging Supabase read access + A/B test accounts</t>
        </is>
      </c>
    </row>
    <row r="45" ht="53.7" customHeight="1" s="29">
      <c r="A45" s="36" t="inlineStr">
        <is>
          <t>MX-CONTENT-0043</t>
        </is>
      </c>
      <c r="B45" s="54" t="inlineStr">
        <is>
          <t>P1</t>
        </is>
      </c>
      <c r="C45" s="36" t="inlineStr">
        <is>
          <t>Content/RAG</t>
        </is>
      </c>
      <c r="D45" s="36" t="inlineStr">
        <is>
          <t>Grade 7 · Social Science · Syllabus tree loads</t>
        </is>
      </c>
      <c r="E45" s="36" t="inlineStr">
        <is>
          <t>Confirms the 'Syllabus tree loads' dimension for Grade 7 Social Science. Coverage is proven per grade, per subject, per dimension — not claimed in aggregate. A gap on any dimension means that grade/subject is not truly launch-ready and must be fenced.</t>
        </is>
      </c>
      <c r="F45" s="36" t="inlineStr">
        <is>
          <t>A student account set to Grade 7 with Social Science available.</t>
        </is>
      </c>
      <c r="G45" s="36" t="inlineStr">
        <is>
          <t>1) Open the Social Science syllabus for Grade 7; confirm every chapter loads and the list matches cbse_syllabus exactly.</t>
        </is>
      </c>
      <c r="H45" s="36" t="inlineStr">
        <is>
          <t>Chapter list loads and matches the canonical taxonomy; no missing/extra/duplicate chapters.</t>
        </is>
      </c>
      <c r="I45" s="36" t="inlineStr">
        <is>
          <t>Evidence for Grade 7 Social Science — Syllabus tree loads (screenshot and/or SQL)</t>
        </is>
      </c>
      <c r="J45" s="41" t="inlineStr">
        <is>
          <t>NOT RUN</t>
        </is>
      </c>
      <c r="K45" s="36" t="inlineStr">
        <is>
          <t>Claude (pending env)</t>
        </is>
      </c>
      <c r="L45" s="36" t="n"/>
      <c r="M45" s="36" t="n"/>
      <c r="N45" s="36" t="inlineStr">
        <is>
          <t>[T4 | Phase 4 | Claude (pending env)] Playwright/authenticated-API against running env. awaiting running staging URL + test accounts</t>
        </is>
      </c>
    </row>
    <row r="46" ht="53.7" customHeight="1" s="29">
      <c r="A46" s="37" t="inlineStr">
        <is>
          <t>MX-CONTENT-0044</t>
        </is>
      </c>
      <c r="B46" s="54" t="inlineStr">
        <is>
          <t>P1</t>
        </is>
      </c>
      <c r="C46" s="37" t="inlineStr">
        <is>
          <t>Content/RAG</t>
        </is>
      </c>
      <c r="D46" s="37" t="inlineStr">
        <is>
          <t>Grade 7 · Social Science · Foxy in-syllabus grounding</t>
        </is>
      </c>
      <c r="E46" s="37" t="inlineStr">
        <is>
          <t>Confirms the 'Foxy in-syllabus grounding' dimension for Grade 7 Social Science. Coverage is proven per grade, per subject, per dimension — not claimed in aggregate. A gap on any dimension means that grade/subject is not truly launch-ready and must be fenced.</t>
        </is>
      </c>
      <c r="F46" s="37" t="inlineStr">
        <is>
          <t>A student account set to Grade 7 with Social Science available.</t>
        </is>
      </c>
      <c r="G46" s="37" t="inlineStr">
        <is>
          <t>1) Ask Foxy an in-syllabus Social Science question for Grade 7; confirm a grounded, cited answer from NCERT chunks.</t>
        </is>
      </c>
      <c r="H46" s="37" t="inlineStr">
        <is>
          <t>Answer is correct, on-syllabus, cited; grounded_ai_traces written.</t>
        </is>
      </c>
      <c r="I46" s="37" t="inlineStr">
        <is>
          <t>Evidence for Grade 7 Social Science — Foxy in-syllabus grounding (screenshot and/or SQL)</t>
        </is>
      </c>
      <c r="J46" s="43" t="inlineStr">
        <is>
          <t>NOT RUN</t>
        </is>
      </c>
      <c r="K46" s="37" t="inlineStr">
        <is>
          <t>Claude (pending env)</t>
        </is>
      </c>
      <c r="L46" s="37" t="n"/>
      <c r="M46" s="37" t="n"/>
      <c r="N46" s="37" t="inlineStr">
        <is>
          <t>[T4 | Phase 4 | Claude (pending env)] Playwright/authenticated-API against running env. awaiting running staging URL + test accounts</t>
        </is>
      </c>
    </row>
    <row r="47" ht="53.7" customHeight="1" s="29">
      <c r="A47" s="36" t="inlineStr">
        <is>
          <t>MX-CONTENT-0045</t>
        </is>
      </c>
      <c r="B47" s="54" t="inlineStr">
        <is>
          <t>P1</t>
        </is>
      </c>
      <c r="C47" s="36" t="inlineStr">
        <is>
          <t>Content/RAG</t>
        </is>
      </c>
      <c r="D47" s="36" t="inlineStr">
        <is>
          <t>Grade 7 · Social Science · Foxy out-of-syllabus refusal</t>
        </is>
      </c>
      <c r="E47" s="36" t="inlineStr">
        <is>
          <t>Confirms the 'Foxy out-of-syllabus refusal' dimension for Grade 7 Social Science. Coverage is proven per grade, per subject, per dimension — not claimed in aggregate. A gap on any dimension means that grade/subject is not truly launch-ready and must be fenced.</t>
        </is>
      </c>
      <c r="F47" s="36" t="inlineStr">
        <is>
          <t>A student account set to Grade 7 with Social Science available.</t>
        </is>
      </c>
      <c r="G47" s="36" t="inlineStr">
        <is>
          <t>1) Ask Foxy an out-of-syllabus Social Science question for Grade 7; confirm CURRICULUM_GAP, not a fabricated answer.</t>
        </is>
      </c>
      <c r="H47" s="36" t="inlineStr">
        <is>
          <t>Structured CURRICULUM_GAP returned; content_gaps logged; no hallucination.</t>
        </is>
      </c>
      <c r="I47" s="36" t="inlineStr">
        <is>
          <t>Evidence for Grade 7 Social Science — Foxy out-of-syllabus refusal (screenshot and/or SQL)</t>
        </is>
      </c>
      <c r="J47" s="41" t="inlineStr">
        <is>
          <t>NOT RUN</t>
        </is>
      </c>
      <c r="K47" s="36" t="inlineStr">
        <is>
          <t>Claude (pending env)</t>
        </is>
      </c>
      <c r="L47" s="36" t="n"/>
      <c r="M47" s="36" t="n"/>
      <c r="N47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48" ht="53.7" customHeight="1" s="29">
      <c r="A48" s="37" t="inlineStr">
        <is>
          <t>MX-CONTENT-0046</t>
        </is>
      </c>
      <c r="B48" s="54" t="inlineStr">
        <is>
          <t>P1</t>
        </is>
      </c>
      <c r="C48" s="37" t="inlineStr">
        <is>
          <t>Content/RAG</t>
        </is>
      </c>
      <c r="D48" s="37" t="inlineStr">
        <is>
          <t>Grade 7 · Social Science · Quiz generation (verified-only)</t>
        </is>
      </c>
      <c r="E48" s="37" t="inlineStr">
        <is>
          <t>Confirms the 'Quiz generation (verified-only)' dimension for Grade 7 Social Science. Coverage is proven per grade, per subject, per dimension — not claimed in aggregate. A gap on any dimension means that grade/subject is not truly launch-ready and must be fenced.</t>
        </is>
      </c>
      <c r="F48" s="37" t="inlineStr">
        <is>
          <t>A student account set to Grade 7 with Social Science available.</t>
        </is>
      </c>
      <c r="G48" s="37" t="inlineStr">
        <is>
          <t>1) Generate/take a Social Science quiz for Grade 7; collect served ids and confirm all are verification_state='verified'.</t>
        </is>
      </c>
      <c r="H48" s="37" t="inlineStr">
        <is>
          <t>Quiz generates; 100% of served questions are verified; none unverified.</t>
        </is>
      </c>
      <c r="I48" s="37" t="inlineStr">
        <is>
          <t>Evidence for Grade 7 Social Science — Quiz generation (verified-only) (screenshot and/or SQL)</t>
        </is>
      </c>
      <c r="J48" s="43" t="inlineStr">
        <is>
          <t>NOT RUN</t>
        </is>
      </c>
      <c r="K48" s="37" t="inlineStr">
        <is>
          <t>Claude (pending env)</t>
        </is>
      </c>
      <c r="L48" s="37" t="n"/>
      <c r="M48" s="37" t="n"/>
      <c r="N48" s="37" t="inlineStr">
        <is>
          <t>[T4 | Phase 4 | Claude (pending env)] Playwright/authenticated-API against running env. awaiting running staging URL + test accounts</t>
        </is>
      </c>
    </row>
    <row r="49" ht="53.7" customHeight="1" s="29">
      <c r="A49" s="36" t="inlineStr">
        <is>
          <t>MX-CONTENT-0047</t>
        </is>
      </c>
      <c r="B49" s="55" t="inlineStr">
        <is>
          <t>P2</t>
        </is>
      </c>
      <c r="C49" s="36" t="inlineStr">
        <is>
          <t>Content/RAG</t>
        </is>
      </c>
      <c r="D49" s="36" t="inlineStr">
        <is>
          <t>Grade 7 · Social Science · Readiness honesty</t>
        </is>
      </c>
      <c r="E49" s="36" t="inlineStr">
        <is>
          <t>Confirms the 'Readiness honesty' dimension for Grade 7 Social Science. Coverage is proven per grade, per subject, per dimension — not claimed in aggregate. A gap on any dimension means that grade/subject is not truly launch-ready and must be fenced.</t>
        </is>
      </c>
      <c r="F49" s="36" t="inlineStr">
        <is>
          <t>A student account set to Grade 7 with Social Science available.</t>
        </is>
      </c>
      <c r="G49" s="36" t="inlineStr">
        <is>
          <t>1) For one Grade 7 Social Science chapter, compare cbse_syllabus rag_status/chunk_count/verified count to the actual indexed rows.</t>
        </is>
      </c>
      <c r="H49" s="36" t="inlineStr">
        <is>
          <t>Stored readiness matches reality for the sampled chapter.</t>
        </is>
      </c>
      <c r="I49" s="36" t="inlineStr">
        <is>
          <t>Evidence for Grade 7 Social Science — Readiness honesty (screenshot and/or SQL)</t>
        </is>
      </c>
      <c r="J49" s="41" t="inlineStr">
        <is>
          <t>NOT RUN</t>
        </is>
      </c>
      <c r="K49" s="36" t="inlineStr">
        <is>
          <t>Claude (pending env)</t>
        </is>
      </c>
      <c r="L49" s="36" t="n"/>
      <c r="M49" s="36" t="n"/>
      <c r="N49" s="36" t="inlineStr">
        <is>
          <t>[T3 | Phase 3 | Claude (pending env)] parametrized SQL probe via live/staging Supabase. awaiting live/staging Supabase read access + A/B test accounts</t>
        </is>
      </c>
    </row>
    <row r="50" ht="53.7" customHeight="1" s="29">
      <c r="A50" s="37" t="inlineStr">
        <is>
          <t>MX-CONTENT-0048</t>
        </is>
      </c>
      <c r="B50" s="55" t="inlineStr">
        <is>
          <t>P2</t>
        </is>
      </c>
      <c r="C50" s="37" t="inlineStr">
        <is>
          <t>Content/RAG</t>
        </is>
      </c>
      <c r="D50" s="37" t="inlineStr">
        <is>
          <t>Grade 7 · Social Science · Hindi availability</t>
        </is>
      </c>
      <c r="E50" s="37" t="inlineStr">
        <is>
          <t>Confirms the 'Hindi availability' dimension for Grade 7 Social Science. Coverage is proven per grade, per subject, per dimension — not claimed in aggregate. A gap on any dimension means that grade/subject is not truly launch-ready and must be fenced.</t>
        </is>
      </c>
      <c r="F50" s="37" t="inlineStr">
        <is>
          <t>A student account set to Grade 7 with Social Science available.</t>
        </is>
      </c>
      <c r="G50" s="37" t="inlineStr">
        <is>
          <t>1) For Grade 7 Social Science, confirm Hindi content retrieves under language='hi' where indexed, or returns LANGUAGE_GAP.</t>
        </is>
      </c>
      <c r="H50" s="37" t="inlineStr">
        <is>
          <t>Hindi served where indexed; explicit LANGUAGE_GAP otherwise; never silent English.</t>
        </is>
      </c>
      <c r="I50" s="37" t="inlineStr">
        <is>
          <t>Evidence for Grade 7 Social Science — Hindi availability (screenshot and/or SQL)</t>
        </is>
      </c>
      <c r="J50" s="43" t="inlineStr">
        <is>
          <t>NOT RUN</t>
        </is>
      </c>
      <c r="K50" s="37" t="inlineStr">
        <is>
          <t>Claude (pending env)</t>
        </is>
      </c>
      <c r="L50" s="37" t="n"/>
      <c r="M50" s="37" t="n"/>
      <c r="N50" s="37" t="inlineStr">
        <is>
          <t>[T3 | Phase 3 | Claude (pending env)] parametrized SQL probe via live/staging Supabase. awaiting live/staging Supabase read access + A/B test accounts</t>
        </is>
      </c>
    </row>
    <row r="51" ht="53.7" customHeight="1" s="29">
      <c r="A51" s="36" t="inlineStr">
        <is>
          <t>MX-CONTENT-0049</t>
        </is>
      </c>
      <c r="B51" s="54" t="inlineStr">
        <is>
          <t>P1</t>
        </is>
      </c>
      <c r="C51" s="36" t="inlineStr">
        <is>
          <t>Content/RAG</t>
        </is>
      </c>
      <c r="D51" s="36" t="inlineStr">
        <is>
          <t>Grade 7 · English · Syllabus tree loads</t>
        </is>
      </c>
      <c r="E51" s="36" t="inlineStr">
        <is>
          <t>Confirms the 'Syllabus tree loads' dimension for Grade 7 English. Coverage is proven per grade, per subject, per dimension — not claimed in aggregate. A gap on any dimension means that grade/subject is not truly launch-ready and must be fenced.</t>
        </is>
      </c>
      <c r="F51" s="36" t="inlineStr">
        <is>
          <t>A student account set to Grade 7 with English available.</t>
        </is>
      </c>
      <c r="G51" s="36" t="inlineStr">
        <is>
          <t>1) Open the English syllabus for Grade 7; confirm every chapter loads and the list matches cbse_syllabus exactly.</t>
        </is>
      </c>
      <c r="H51" s="36" t="inlineStr">
        <is>
          <t>Chapter list loads and matches the canonical taxonomy; no missing/extra/duplicate chapters.</t>
        </is>
      </c>
      <c r="I51" s="36" t="inlineStr">
        <is>
          <t>Evidence for Grade 7 English — Syllabus tree loads (screenshot and/or SQL)</t>
        </is>
      </c>
      <c r="J51" s="41" t="inlineStr">
        <is>
          <t>NOT RUN</t>
        </is>
      </c>
      <c r="K51" s="36" t="inlineStr">
        <is>
          <t>Claude (pending env)</t>
        </is>
      </c>
      <c r="L51" s="36" t="n"/>
      <c r="M51" s="36" t="n"/>
      <c r="N51" s="36" t="inlineStr">
        <is>
          <t>[T4 | Phase 4 | Claude (pending env)] Playwright/authenticated-API against running env. awaiting running staging URL + test accounts</t>
        </is>
      </c>
    </row>
    <row r="52" ht="53.7" customHeight="1" s="29">
      <c r="A52" s="37" t="inlineStr">
        <is>
          <t>MX-CONTENT-0050</t>
        </is>
      </c>
      <c r="B52" s="54" t="inlineStr">
        <is>
          <t>P1</t>
        </is>
      </c>
      <c r="C52" s="37" t="inlineStr">
        <is>
          <t>Content/RAG</t>
        </is>
      </c>
      <c r="D52" s="37" t="inlineStr">
        <is>
          <t>Grade 7 · English · Foxy in-syllabus grounding</t>
        </is>
      </c>
      <c r="E52" s="37" t="inlineStr">
        <is>
          <t>Confirms the 'Foxy in-syllabus grounding' dimension for Grade 7 English. Coverage is proven per grade, per subject, per dimension — not claimed in aggregate. A gap on any dimension means that grade/subject is not truly launch-ready and must be fenced.</t>
        </is>
      </c>
      <c r="F52" s="37" t="inlineStr">
        <is>
          <t>A student account set to Grade 7 with English available.</t>
        </is>
      </c>
      <c r="G52" s="37" t="inlineStr">
        <is>
          <t>1) Ask Foxy an in-syllabus English question for Grade 7; confirm a grounded, cited answer from NCERT chunks.</t>
        </is>
      </c>
      <c r="H52" s="37" t="inlineStr">
        <is>
          <t>Answer is correct, on-syllabus, cited; grounded_ai_traces written.</t>
        </is>
      </c>
      <c r="I52" s="37" t="inlineStr">
        <is>
          <t>Evidence for Grade 7 English — Foxy in-syllabus grounding (screenshot and/or SQL)</t>
        </is>
      </c>
      <c r="J52" s="43" t="inlineStr">
        <is>
          <t>NOT RUN</t>
        </is>
      </c>
      <c r="K52" s="37" t="inlineStr">
        <is>
          <t>Claude (pending env)</t>
        </is>
      </c>
      <c r="L52" s="37" t="n"/>
      <c r="M52" s="37" t="n"/>
      <c r="N52" s="37" t="inlineStr">
        <is>
          <t>[T4 | Phase 4 | Claude (pending env)] Playwright/authenticated-API against running env. awaiting running staging URL + test accounts</t>
        </is>
      </c>
    </row>
    <row r="53" ht="53.7" customHeight="1" s="29">
      <c r="A53" s="36" t="inlineStr">
        <is>
          <t>MX-CONTENT-0051</t>
        </is>
      </c>
      <c r="B53" s="54" t="inlineStr">
        <is>
          <t>P1</t>
        </is>
      </c>
      <c r="C53" s="36" t="inlineStr">
        <is>
          <t>Content/RAG</t>
        </is>
      </c>
      <c r="D53" s="36" t="inlineStr">
        <is>
          <t>Grade 7 · English · Foxy out-of-syllabus refusal</t>
        </is>
      </c>
      <c r="E53" s="36" t="inlineStr">
        <is>
          <t>Confirms the 'Foxy out-of-syllabus refusal' dimension for Grade 7 English. Coverage is proven per grade, per subject, per dimension — not claimed in aggregate. A gap on any dimension means that grade/subject is not truly launch-ready and must be fenced.</t>
        </is>
      </c>
      <c r="F53" s="36" t="inlineStr">
        <is>
          <t>A student account set to Grade 7 with English available.</t>
        </is>
      </c>
      <c r="G53" s="36" t="inlineStr">
        <is>
          <t>1) Ask Foxy an out-of-syllabus English question for Grade 7; confirm CURRICULUM_GAP, not a fabricated answer.</t>
        </is>
      </c>
      <c r="H53" s="36" t="inlineStr">
        <is>
          <t>Structured CURRICULUM_GAP returned; content_gaps logged; no hallucination.</t>
        </is>
      </c>
      <c r="I53" s="36" t="inlineStr">
        <is>
          <t>Evidence for Grade 7 English — Foxy out-of-syllabus refusal (screenshot and/or SQL)</t>
        </is>
      </c>
      <c r="J53" s="41" t="inlineStr">
        <is>
          <t>NOT RUN</t>
        </is>
      </c>
      <c r="K53" s="36" t="inlineStr">
        <is>
          <t>Claude (pending env)</t>
        </is>
      </c>
      <c r="L53" s="36" t="n"/>
      <c r="M53" s="36" t="n"/>
      <c r="N53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54" ht="53.7" customHeight="1" s="29">
      <c r="A54" s="37" t="inlineStr">
        <is>
          <t>MX-CONTENT-0052</t>
        </is>
      </c>
      <c r="B54" s="54" t="inlineStr">
        <is>
          <t>P1</t>
        </is>
      </c>
      <c r="C54" s="37" t="inlineStr">
        <is>
          <t>Content/RAG</t>
        </is>
      </c>
      <c r="D54" s="37" t="inlineStr">
        <is>
          <t>Grade 7 · English · Quiz generation (verified-only)</t>
        </is>
      </c>
      <c r="E54" s="37" t="inlineStr">
        <is>
          <t>Confirms the 'Quiz generation (verified-only)' dimension for Grade 7 English. Coverage is proven per grade, per subject, per dimension — not claimed in aggregate. A gap on any dimension means that grade/subject is not truly launch-ready and must be fenced.</t>
        </is>
      </c>
      <c r="F54" s="37" t="inlineStr">
        <is>
          <t>A student account set to Grade 7 with English available.</t>
        </is>
      </c>
      <c r="G54" s="37" t="inlineStr">
        <is>
          <t>1) Generate/take a English quiz for Grade 7; collect served ids and confirm all are verification_state='verified'.</t>
        </is>
      </c>
      <c r="H54" s="37" t="inlineStr">
        <is>
          <t>Quiz generates; 100% of served questions are verified; none unverified.</t>
        </is>
      </c>
      <c r="I54" s="37" t="inlineStr">
        <is>
          <t>Evidence for Grade 7 English — Quiz generation (verified-only) (screenshot and/or SQL)</t>
        </is>
      </c>
      <c r="J54" s="43" t="inlineStr">
        <is>
          <t>NOT RUN</t>
        </is>
      </c>
      <c r="K54" s="37" t="inlineStr">
        <is>
          <t>Claude (pending env)</t>
        </is>
      </c>
      <c r="L54" s="37" t="n"/>
      <c r="M54" s="37" t="n"/>
      <c r="N54" s="37" t="inlineStr">
        <is>
          <t>[T4 | Phase 4 | Claude (pending env)] Playwright/authenticated-API against running env. awaiting running staging URL + test accounts</t>
        </is>
      </c>
    </row>
    <row r="55" ht="53.7" customHeight="1" s="29">
      <c r="A55" s="36" t="inlineStr">
        <is>
          <t>MX-CONTENT-0053</t>
        </is>
      </c>
      <c r="B55" s="55" t="inlineStr">
        <is>
          <t>P2</t>
        </is>
      </c>
      <c r="C55" s="36" t="inlineStr">
        <is>
          <t>Content/RAG</t>
        </is>
      </c>
      <c r="D55" s="36" t="inlineStr">
        <is>
          <t>Grade 7 · English · Readiness honesty</t>
        </is>
      </c>
      <c r="E55" s="36" t="inlineStr">
        <is>
          <t>Confirms the 'Readiness honesty' dimension for Grade 7 English. Coverage is proven per grade, per subject, per dimension — not claimed in aggregate. A gap on any dimension means that grade/subject is not truly launch-ready and must be fenced.</t>
        </is>
      </c>
      <c r="F55" s="36" t="inlineStr">
        <is>
          <t>A student account set to Grade 7 with English available.</t>
        </is>
      </c>
      <c r="G55" s="36" t="inlineStr">
        <is>
          <t>1) For one Grade 7 English chapter, compare cbse_syllabus rag_status/chunk_count/verified count to the actual indexed rows.</t>
        </is>
      </c>
      <c r="H55" s="36" t="inlineStr">
        <is>
          <t>Stored readiness matches reality for the sampled chapter.</t>
        </is>
      </c>
      <c r="I55" s="36" t="inlineStr">
        <is>
          <t>Evidence for Grade 7 English — Readiness honesty (screenshot and/or SQL)</t>
        </is>
      </c>
      <c r="J55" s="41" t="inlineStr">
        <is>
          <t>NOT RUN</t>
        </is>
      </c>
      <c r="K55" s="36" t="inlineStr">
        <is>
          <t>Claude (pending env)</t>
        </is>
      </c>
      <c r="L55" s="36" t="n"/>
      <c r="M55" s="36" t="n"/>
      <c r="N55" s="36" t="inlineStr">
        <is>
          <t>[T3 | Phase 3 | Claude (pending env)] parametrized SQL probe via live/staging Supabase. awaiting live/staging Supabase read access + A/B test accounts</t>
        </is>
      </c>
    </row>
    <row r="56" ht="43.25" customHeight="1" s="29">
      <c r="A56" s="37" t="inlineStr">
        <is>
          <t>MX-CONTENT-0054</t>
        </is>
      </c>
      <c r="B56" s="55" t="inlineStr">
        <is>
          <t>P2</t>
        </is>
      </c>
      <c r="C56" s="37" t="inlineStr">
        <is>
          <t>Content/RAG</t>
        </is>
      </c>
      <c r="D56" s="37" t="inlineStr">
        <is>
          <t>Grade 7 · English · Hindi availability</t>
        </is>
      </c>
      <c r="E56" s="37" t="inlineStr">
        <is>
          <t>Confirms the 'Hindi availability' dimension for Grade 7 English. Coverage is proven per grade, per subject, per dimension — not claimed in aggregate. A gap on any dimension means that grade/subject is not truly launch-ready and must be fenced.</t>
        </is>
      </c>
      <c r="F56" s="37" t="inlineStr">
        <is>
          <t>A student account set to Grade 7 with English available.</t>
        </is>
      </c>
      <c r="G56" s="37" t="inlineStr">
        <is>
          <t>1) For Grade 7 English, confirm Hindi content retrieves under language='hi' where indexed, or returns LANGUAGE_GAP.</t>
        </is>
      </c>
      <c r="H56" s="37" t="inlineStr">
        <is>
          <t>Hindi served where indexed; explicit LANGUAGE_GAP otherwise; never silent English.</t>
        </is>
      </c>
      <c r="I56" s="37" t="inlineStr">
        <is>
          <t>Evidence for Grade 7 English — Hindi availability (screenshot and/or SQL)</t>
        </is>
      </c>
      <c r="J56" s="43" t="inlineStr">
        <is>
          <t>NOT RUN</t>
        </is>
      </c>
      <c r="K56" s="37" t="inlineStr">
        <is>
          <t>Claude (pending env)</t>
        </is>
      </c>
      <c r="L56" s="37" t="n"/>
      <c r="M56" s="37" t="n"/>
      <c r="N56" s="37" t="inlineStr">
        <is>
          <t>[T3 | Phase 3 | Claude (pending env)] parametrized SQL probe via live/staging Supabase. awaiting live/staging Supabase read access + A/B test accounts. FINDING: LANGUAGE_GAP not implemented in code (docs only) -&gt; candidate P-defect, not auto-PASS</t>
        </is>
      </c>
    </row>
    <row r="57" ht="43.25" customHeight="1" s="29">
      <c r="A57" s="36" t="inlineStr">
        <is>
          <t>MX-CONTENT-0055</t>
        </is>
      </c>
      <c r="B57" s="54" t="inlineStr">
        <is>
          <t>P1</t>
        </is>
      </c>
      <c r="C57" s="36" t="inlineStr">
        <is>
          <t>Content/RAG</t>
        </is>
      </c>
      <c r="D57" s="36" t="inlineStr">
        <is>
          <t>Grade 7 · Hindi · Syllabus tree loads</t>
        </is>
      </c>
      <c r="E57" s="36" t="inlineStr">
        <is>
          <t>Confirms the 'Syllabus tree loads' dimension for Grade 7 Hindi. Coverage is proven per grade, per subject, per dimension — not claimed in aggregate. A gap on any dimension means that grade/subject is not truly launch-ready and must be fenced.</t>
        </is>
      </c>
      <c r="F57" s="36" t="inlineStr">
        <is>
          <t>A student account set to Grade 7 with Hindi available.</t>
        </is>
      </c>
      <c r="G57" s="36" t="inlineStr">
        <is>
          <t>1) Open the Hindi syllabus for Grade 7; confirm every chapter loads and the list matches cbse_syllabus exactly.</t>
        </is>
      </c>
      <c r="H57" s="36" t="inlineStr">
        <is>
          <t>Chapter list loads and matches the canonical taxonomy; no missing/extra/duplicate chapters.</t>
        </is>
      </c>
      <c r="I57" s="36" t="inlineStr">
        <is>
          <t>Evidence for Grade 7 Hindi — Syllabus tree loads (screenshot and/or SQL)</t>
        </is>
      </c>
      <c r="J57" s="41" t="inlineStr">
        <is>
          <t>NOT RUN</t>
        </is>
      </c>
      <c r="K57" s="36" t="inlineStr">
        <is>
          <t>Claude (pending env)</t>
        </is>
      </c>
      <c r="L57" s="36" t="n"/>
      <c r="M57" s="36" t="n"/>
      <c r="N57" s="36" t="inlineStr">
        <is>
          <t>[T4 | Phase 4 | Claude (pending env)] Playwright/authenticated-API against running env. awaiting running staging URL + test accounts</t>
        </is>
      </c>
    </row>
    <row r="58" ht="43.25" customHeight="1" s="29">
      <c r="A58" s="37" t="inlineStr">
        <is>
          <t>MX-CONTENT-0056</t>
        </is>
      </c>
      <c r="B58" s="54" t="inlineStr">
        <is>
          <t>P1</t>
        </is>
      </c>
      <c r="C58" s="37" t="inlineStr">
        <is>
          <t>Content/RAG</t>
        </is>
      </c>
      <c r="D58" s="37" t="inlineStr">
        <is>
          <t>Grade 7 · Hindi · Foxy in-syllabus grounding</t>
        </is>
      </c>
      <c r="E58" s="37" t="inlineStr">
        <is>
          <t>Confirms the 'Foxy in-syllabus grounding' dimension for Grade 7 Hindi. Coverage is proven per grade, per subject, per dimension — not claimed in aggregate. A gap on any dimension means that grade/subject is not truly launch-ready and must be fenced.</t>
        </is>
      </c>
      <c r="F58" s="37" t="inlineStr">
        <is>
          <t>A student account set to Grade 7 with Hindi available.</t>
        </is>
      </c>
      <c r="G58" s="37" t="inlineStr">
        <is>
          <t>1) Ask Foxy an in-syllabus Hindi question for Grade 7; confirm a grounded, cited answer from NCERT chunks.</t>
        </is>
      </c>
      <c r="H58" s="37" t="inlineStr">
        <is>
          <t>Answer is correct, on-syllabus, cited; grounded_ai_traces written.</t>
        </is>
      </c>
      <c r="I58" s="37" t="inlineStr">
        <is>
          <t>Evidence for Grade 7 Hindi — Foxy in-syllabus grounding (screenshot and/or SQL)</t>
        </is>
      </c>
      <c r="J58" s="43" t="inlineStr">
        <is>
          <t>NOT RUN</t>
        </is>
      </c>
      <c r="K58" s="37" t="inlineStr">
        <is>
          <t>Claude (pending env)</t>
        </is>
      </c>
      <c r="L58" s="37" t="n"/>
      <c r="M58" s="37" t="n"/>
      <c r="N58" s="37" t="inlineStr">
        <is>
          <t>[T4 | Phase 4 | Claude (pending env)] Playwright/authenticated-API against running env. awaiting running staging URL + test accounts</t>
        </is>
      </c>
    </row>
    <row r="59" ht="53.7" customHeight="1" s="29">
      <c r="A59" s="36" t="inlineStr">
        <is>
          <t>MX-CONTENT-0057</t>
        </is>
      </c>
      <c r="B59" s="54" t="inlineStr">
        <is>
          <t>P1</t>
        </is>
      </c>
      <c r="C59" s="36" t="inlineStr">
        <is>
          <t>Content/RAG</t>
        </is>
      </c>
      <c r="D59" s="36" t="inlineStr">
        <is>
          <t>Grade 7 · Hindi · Foxy out-of-syllabus refusal</t>
        </is>
      </c>
      <c r="E59" s="36" t="inlineStr">
        <is>
          <t>Confirms the 'Foxy out-of-syllabus refusal' dimension for Grade 7 Hindi. Coverage is proven per grade, per subject, per dimension — not claimed in aggregate. A gap on any dimension means that grade/subject is not truly launch-ready and must be fenced.</t>
        </is>
      </c>
      <c r="F59" s="36" t="inlineStr">
        <is>
          <t>A student account set to Grade 7 with Hindi available.</t>
        </is>
      </c>
      <c r="G59" s="36" t="inlineStr">
        <is>
          <t>1) Ask Foxy an out-of-syllabus Hindi question for Grade 7; confirm CURRICULUM_GAP, not a fabricated answer.</t>
        </is>
      </c>
      <c r="H59" s="36" t="inlineStr">
        <is>
          <t>Structured CURRICULUM_GAP returned; content_gaps logged; no hallucination.</t>
        </is>
      </c>
      <c r="I59" s="36" t="inlineStr">
        <is>
          <t>Evidence for Grade 7 Hindi — Foxy out-of-syllabus refusal (screenshot and/or SQL)</t>
        </is>
      </c>
      <c r="J59" s="41" t="inlineStr">
        <is>
          <t>NOT RUN</t>
        </is>
      </c>
      <c r="K59" s="36" t="inlineStr">
        <is>
          <t>Claude (pending env)</t>
        </is>
      </c>
      <c r="L59" s="36" t="n"/>
      <c r="M59" s="36" t="n"/>
      <c r="N59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60" ht="53.7" customHeight="1" s="29">
      <c r="A60" s="37" t="inlineStr">
        <is>
          <t>MX-CONTENT-0058</t>
        </is>
      </c>
      <c r="B60" s="54" t="inlineStr">
        <is>
          <t>P1</t>
        </is>
      </c>
      <c r="C60" s="37" t="inlineStr">
        <is>
          <t>Content/RAG</t>
        </is>
      </c>
      <c r="D60" s="37" t="inlineStr">
        <is>
          <t>Grade 7 · Hindi · Quiz generation (verified-only)</t>
        </is>
      </c>
      <c r="E60" s="37" t="inlineStr">
        <is>
          <t>Confirms the 'Quiz generation (verified-only)' dimension for Grade 7 Hindi. Coverage is proven per grade, per subject, per dimension — not claimed in aggregate. A gap on any dimension means that grade/subject is not truly launch-ready and must be fenced.</t>
        </is>
      </c>
      <c r="F60" s="37" t="inlineStr">
        <is>
          <t>A student account set to Grade 7 with Hindi available.</t>
        </is>
      </c>
      <c r="G60" s="37" t="inlineStr">
        <is>
          <t>1) Generate/take a Hindi quiz for Grade 7; collect served ids and confirm all are verification_state='verified'.</t>
        </is>
      </c>
      <c r="H60" s="37" t="inlineStr">
        <is>
          <t>Quiz generates; 100% of served questions are verified; none unverified.</t>
        </is>
      </c>
      <c r="I60" s="37" t="inlineStr">
        <is>
          <t>Evidence for Grade 7 Hindi — Quiz generation (verified-only) (screenshot and/or SQL)</t>
        </is>
      </c>
      <c r="J60" s="43" t="inlineStr">
        <is>
          <t>NOT RUN</t>
        </is>
      </c>
      <c r="K60" s="37" t="inlineStr">
        <is>
          <t>Claude (pending env)</t>
        </is>
      </c>
      <c r="L60" s="37" t="n"/>
      <c r="M60" s="37" t="n"/>
      <c r="N60" s="37" t="inlineStr">
        <is>
          <t>[T4 | Phase 4 | Claude (pending env)] Playwright/authenticated-API against running env. awaiting running staging URL + test accounts</t>
        </is>
      </c>
    </row>
    <row r="61" ht="43.25" customHeight="1" s="29">
      <c r="A61" s="36" t="inlineStr">
        <is>
          <t>MX-CONTENT-0059</t>
        </is>
      </c>
      <c r="B61" s="55" t="inlineStr">
        <is>
          <t>P2</t>
        </is>
      </c>
      <c r="C61" s="36" t="inlineStr">
        <is>
          <t>Content/RAG</t>
        </is>
      </c>
      <c r="D61" s="36" t="inlineStr">
        <is>
          <t>Grade 7 · Hindi · Readiness honesty</t>
        </is>
      </c>
      <c r="E61" s="36" t="inlineStr">
        <is>
          <t>Confirms the 'Readiness honesty' dimension for Grade 7 Hindi. Coverage is proven per grade, per subject, per dimension — not claimed in aggregate. A gap on any dimension means that grade/subject is not truly launch-ready and must be fenced.</t>
        </is>
      </c>
      <c r="F61" s="36" t="inlineStr">
        <is>
          <t>A student account set to Grade 7 with Hindi available.</t>
        </is>
      </c>
      <c r="G61" s="36" t="inlineStr">
        <is>
          <t>1) For one Grade 7 Hindi chapter, compare cbse_syllabus rag_status/chunk_count/verified count to the actual indexed rows.</t>
        </is>
      </c>
      <c r="H61" s="36" t="inlineStr">
        <is>
          <t>Stored readiness matches reality for the sampled chapter.</t>
        </is>
      </c>
      <c r="I61" s="36" t="inlineStr">
        <is>
          <t>Evidence for Grade 7 Hindi — Readiness honesty (screenshot and/or SQL)</t>
        </is>
      </c>
      <c r="J61" s="41" t="inlineStr">
        <is>
          <t>NOT RUN</t>
        </is>
      </c>
      <c r="K61" s="36" t="inlineStr">
        <is>
          <t>Claude (pending env)</t>
        </is>
      </c>
      <c r="L61" s="36" t="n"/>
      <c r="M61" s="36" t="n"/>
      <c r="N61" s="36" t="inlineStr">
        <is>
          <t>[T3 | Phase 3 | Claude (pending env)] parametrized SQL probe via live/staging Supabase. awaiting live/staging Supabase read access + A/B test accounts</t>
        </is>
      </c>
    </row>
    <row r="62" ht="43.25" customHeight="1" s="29">
      <c r="A62" s="37" t="inlineStr">
        <is>
          <t>MX-CONTENT-0060</t>
        </is>
      </c>
      <c r="B62" s="55" t="inlineStr">
        <is>
          <t>P2</t>
        </is>
      </c>
      <c r="C62" s="37" t="inlineStr">
        <is>
          <t>Content/RAG</t>
        </is>
      </c>
      <c r="D62" s="37" t="inlineStr">
        <is>
          <t>Grade 7 · Hindi · Hindi availability</t>
        </is>
      </c>
      <c r="E62" s="37" t="inlineStr">
        <is>
          <t>Confirms the 'Hindi availability' dimension for Grade 7 Hindi. Coverage is proven per grade, per subject, per dimension — not claimed in aggregate. A gap on any dimension means that grade/subject is not truly launch-ready and must be fenced.</t>
        </is>
      </c>
      <c r="F62" s="37" t="inlineStr">
        <is>
          <t>A student account set to Grade 7 with Hindi available.</t>
        </is>
      </c>
      <c r="G62" s="37" t="inlineStr">
        <is>
          <t>1) For Grade 7 Hindi, confirm Hindi content retrieves under language='hi' where indexed, or returns LANGUAGE_GAP.</t>
        </is>
      </c>
      <c r="H62" s="37" t="inlineStr">
        <is>
          <t>Hindi served where indexed; explicit LANGUAGE_GAP otherwise; never silent English.</t>
        </is>
      </c>
      <c r="I62" s="37" t="inlineStr">
        <is>
          <t>Evidence for Grade 7 Hindi — Hindi availability (screenshot and/or SQL)</t>
        </is>
      </c>
      <c r="J62" s="43" t="inlineStr">
        <is>
          <t>NOT RUN</t>
        </is>
      </c>
      <c r="K62" s="37" t="inlineStr">
        <is>
          <t>Claude (pending env)</t>
        </is>
      </c>
      <c r="L62" s="37" t="n"/>
      <c r="M62" s="37" t="n"/>
      <c r="N62" s="37" t="inlineStr">
        <is>
          <t>[T3 | Phase 3 | Claude (pending env)] parametrized SQL probe via live/staging Supabase. awaiting live/staging Supabase read access + A/B test accounts</t>
        </is>
      </c>
    </row>
    <row r="63" ht="43.25" customHeight="1" s="29">
      <c r="A63" s="36" t="inlineStr">
        <is>
          <t>MX-CONTENT-0061</t>
        </is>
      </c>
      <c r="B63" s="54" t="inlineStr">
        <is>
          <t>P1</t>
        </is>
      </c>
      <c r="C63" s="36" t="inlineStr">
        <is>
          <t>Content/RAG</t>
        </is>
      </c>
      <c r="D63" s="36" t="inlineStr">
        <is>
          <t>Grade 8 · Maths · Syllabus tree loads</t>
        </is>
      </c>
      <c r="E63" s="36" t="inlineStr">
        <is>
          <t>Confirms the 'Syllabus tree loads' dimension for Grade 8 Maths. Coverage is proven per grade, per subject, per dimension — not claimed in aggregate. A gap on any dimension means that grade/subject is not truly launch-ready and must be fenced.</t>
        </is>
      </c>
      <c r="F63" s="36" t="inlineStr">
        <is>
          <t>A student account set to Grade 8 with Maths available.</t>
        </is>
      </c>
      <c r="G63" s="36" t="inlineStr">
        <is>
          <t>1) Open the Maths syllabus for Grade 8; confirm every chapter loads and the list matches cbse_syllabus exactly.</t>
        </is>
      </c>
      <c r="H63" s="36" t="inlineStr">
        <is>
          <t>Chapter list loads and matches the canonical taxonomy; no missing/extra/duplicate chapters.</t>
        </is>
      </c>
      <c r="I63" s="36" t="inlineStr">
        <is>
          <t>Evidence for Grade 8 Maths — Syllabus tree loads (screenshot and/or SQL)</t>
        </is>
      </c>
      <c r="J63" s="41" t="inlineStr">
        <is>
          <t>NOT RUN</t>
        </is>
      </c>
      <c r="K63" s="36" t="inlineStr">
        <is>
          <t>Claude (pending env)</t>
        </is>
      </c>
      <c r="L63" s="36" t="n"/>
      <c r="M63" s="36" t="n"/>
      <c r="N63" s="36" t="inlineStr">
        <is>
          <t>[T4 | Phase 4 | Claude (pending env)] Playwright/authenticated-API against running env. awaiting running staging URL + test accounts</t>
        </is>
      </c>
    </row>
    <row r="64" ht="53.7" customHeight="1" s="29">
      <c r="A64" s="37" t="inlineStr">
        <is>
          <t>MX-CONTENT-0062</t>
        </is>
      </c>
      <c r="B64" s="54" t="inlineStr">
        <is>
          <t>P1</t>
        </is>
      </c>
      <c r="C64" s="37" t="inlineStr">
        <is>
          <t>Content/RAG</t>
        </is>
      </c>
      <c r="D64" s="37" t="inlineStr">
        <is>
          <t>Grade 8 · Maths · Foxy in-syllabus grounding</t>
        </is>
      </c>
      <c r="E64" s="37" t="inlineStr">
        <is>
          <t>Confirms the 'Foxy in-syllabus grounding' dimension for Grade 8 Maths. Coverage is proven per grade, per subject, per dimension — not claimed in aggregate. A gap on any dimension means that grade/subject is not truly launch-ready and must be fenced.</t>
        </is>
      </c>
      <c r="F64" s="37" t="inlineStr">
        <is>
          <t>A student account set to Grade 8 with Maths available.</t>
        </is>
      </c>
      <c r="G64" s="37" t="inlineStr">
        <is>
          <t>1) Ask Foxy an in-syllabus Maths question for Grade 8; confirm a grounded, cited answer from NCERT chunks.</t>
        </is>
      </c>
      <c r="H64" s="37" t="inlineStr">
        <is>
          <t>Answer is correct, on-syllabus, cited; grounded_ai_traces written.</t>
        </is>
      </c>
      <c r="I64" s="37" t="inlineStr">
        <is>
          <t>Evidence for Grade 8 Maths — Foxy in-syllabus grounding (screenshot and/or SQL)</t>
        </is>
      </c>
      <c r="J64" s="43" t="inlineStr">
        <is>
          <t>NOT RUN</t>
        </is>
      </c>
      <c r="K64" s="37" t="inlineStr">
        <is>
          <t>Claude (pending env)</t>
        </is>
      </c>
      <c r="L64" s="37" t="n"/>
      <c r="M64" s="37" t="n"/>
      <c r="N64" s="37" t="inlineStr">
        <is>
          <t>[T4 | Phase 4 | Claude (pending env)] Playwright/authenticated-API against running env. awaiting running staging URL + test accounts</t>
        </is>
      </c>
    </row>
    <row r="65" ht="53.7" customHeight="1" s="29">
      <c r="A65" s="36" t="inlineStr">
        <is>
          <t>MX-CONTENT-0063</t>
        </is>
      </c>
      <c r="B65" s="54" t="inlineStr">
        <is>
          <t>P1</t>
        </is>
      </c>
      <c r="C65" s="36" t="inlineStr">
        <is>
          <t>Content/RAG</t>
        </is>
      </c>
      <c r="D65" s="36" t="inlineStr">
        <is>
          <t>Grade 8 · Maths · Foxy out-of-syllabus refusal</t>
        </is>
      </c>
      <c r="E65" s="36" t="inlineStr">
        <is>
          <t>Confirms the 'Foxy out-of-syllabus refusal' dimension for Grade 8 Maths. Coverage is proven per grade, per subject, per dimension — not claimed in aggregate. A gap on any dimension means that grade/subject is not truly launch-ready and must be fenced.</t>
        </is>
      </c>
      <c r="F65" s="36" t="inlineStr">
        <is>
          <t>A student account set to Grade 8 with Maths available.</t>
        </is>
      </c>
      <c r="G65" s="36" t="inlineStr">
        <is>
          <t>1) Ask Foxy an out-of-syllabus Maths question for Grade 8; confirm CURRICULUM_GAP, not a fabricated answer.</t>
        </is>
      </c>
      <c r="H65" s="36" t="inlineStr">
        <is>
          <t>Structured CURRICULUM_GAP returned; content_gaps logged; no hallucination.</t>
        </is>
      </c>
      <c r="I65" s="36" t="inlineStr">
        <is>
          <t>Evidence for Grade 8 Maths — Foxy out-of-syllabus refusal (screenshot and/or SQL)</t>
        </is>
      </c>
      <c r="J65" s="41" t="inlineStr">
        <is>
          <t>NOT RUN</t>
        </is>
      </c>
      <c r="K65" s="36" t="inlineStr">
        <is>
          <t>Claude (pending env)</t>
        </is>
      </c>
      <c r="L65" s="36" t="n"/>
      <c r="M65" s="36" t="n"/>
      <c r="N65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66" ht="53.7" customHeight="1" s="29">
      <c r="A66" s="37" t="inlineStr">
        <is>
          <t>MX-CONTENT-0064</t>
        </is>
      </c>
      <c r="B66" s="54" t="inlineStr">
        <is>
          <t>P1</t>
        </is>
      </c>
      <c r="C66" s="37" t="inlineStr">
        <is>
          <t>Content/RAG</t>
        </is>
      </c>
      <c r="D66" s="37" t="inlineStr">
        <is>
          <t>Grade 8 · Maths · Quiz generation (verified-only)</t>
        </is>
      </c>
      <c r="E66" s="37" t="inlineStr">
        <is>
          <t>Confirms the 'Quiz generation (verified-only)' dimension for Grade 8 Maths. Coverage is proven per grade, per subject, per dimension — not claimed in aggregate. A gap on any dimension means that grade/subject is not truly launch-ready and must be fenced.</t>
        </is>
      </c>
      <c r="F66" s="37" t="inlineStr">
        <is>
          <t>A student account set to Grade 8 with Maths available.</t>
        </is>
      </c>
      <c r="G66" s="37" t="inlineStr">
        <is>
          <t>1) Generate/take a Maths quiz for Grade 8; collect served ids and confirm all are verification_state='verified'.</t>
        </is>
      </c>
      <c r="H66" s="37" t="inlineStr">
        <is>
          <t>Quiz generates; 100% of served questions are verified; none unverified.</t>
        </is>
      </c>
      <c r="I66" s="37" t="inlineStr">
        <is>
          <t>Evidence for Grade 8 Maths — Quiz generation (verified-only) (screenshot and/or SQL)</t>
        </is>
      </c>
      <c r="J66" s="43" t="inlineStr">
        <is>
          <t>NOT RUN</t>
        </is>
      </c>
      <c r="K66" s="37" t="inlineStr">
        <is>
          <t>Claude (pending env)</t>
        </is>
      </c>
      <c r="L66" s="37" t="n"/>
      <c r="M66" s="37" t="n"/>
      <c r="N66" s="37" t="inlineStr">
        <is>
          <t>[T4 | Phase 4 | Claude (pending env)] Playwright/authenticated-API against running env. awaiting running staging URL + test accounts</t>
        </is>
      </c>
    </row>
    <row r="67" ht="43.25" customHeight="1" s="29">
      <c r="A67" s="36" t="inlineStr">
        <is>
          <t>MX-CONTENT-0065</t>
        </is>
      </c>
      <c r="B67" s="55" t="inlineStr">
        <is>
          <t>P2</t>
        </is>
      </c>
      <c r="C67" s="36" t="inlineStr">
        <is>
          <t>Content/RAG</t>
        </is>
      </c>
      <c r="D67" s="36" t="inlineStr">
        <is>
          <t>Grade 8 · Maths · Readiness honesty</t>
        </is>
      </c>
      <c r="E67" s="36" t="inlineStr">
        <is>
          <t>Confirms the 'Readiness honesty' dimension for Grade 8 Maths. Coverage is proven per grade, per subject, per dimension — not claimed in aggregate. A gap on any dimension means that grade/subject is not truly launch-ready and must be fenced.</t>
        </is>
      </c>
      <c r="F67" s="36" t="inlineStr">
        <is>
          <t>A student account set to Grade 8 with Maths available.</t>
        </is>
      </c>
      <c r="G67" s="36" t="inlineStr">
        <is>
          <t>1) For one Grade 8 Maths chapter, compare cbse_syllabus rag_status/chunk_count/verified count to the actual indexed rows.</t>
        </is>
      </c>
      <c r="H67" s="36" t="inlineStr">
        <is>
          <t>Stored readiness matches reality for the sampled chapter.</t>
        </is>
      </c>
      <c r="I67" s="36" t="inlineStr">
        <is>
          <t>Evidence for Grade 8 Maths — Readiness honesty (screenshot and/or SQL)</t>
        </is>
      </c>
      <c r="J67" s="41" t="inlineStr">
        <is>
          <t>NOT RUN</t>
        </is>
      </c>
      <c r="K67" s="36" t="inlineStr">
        <is>
          <t>Claude (pending env)</t>
        </is>
      </c>
      <c r="L67" s="36" t="n"/>
      <c r="M67" s="36" t="n"/>
      <c r="N67" s="36" t="inlineStr">
        <is>
          <t>[T3 | Phase 3 | Claude (pending env)] parametrized SQL probe via live/staging Supabase. awaiting live/staging Supabase read access + A/B test accounts</t>
        </is>
      </c>
    </row>
    <row r="68" ht="43.25" customHeight="1" s="29">
      <c r="A68" s="37" t="inlineStr">
        <is>
          <t>MX-CONTENT-0066</t>
        </is>
      </c>
      <c r="B68" s="55" t="inlineStr">
        <is>
          <t>P2</t>
        </is>
      </c>
      <c r="C68" s="37" t="inlineStr">
        <is>
          <t>Content/RAG</t>
        </is>
      </c>
      <c r="D68" s="37" t="inlineStr">
        <is>
          <t>Grade 8 · Maths · Hindi availability</t>
        </is>
      </c>
      <c r="E68" s="37" t="inlineStr">
        <is>
          <t>Confirms the 'Hindi availability' dimension for Grade 8 Maths. Coverage is proven per grade, per subject, per dimension — not claimed in aggregate. A gap on any dimension means that grade/subject is not truly launch-ready and must be fenced.</t>
        </is>
      </c>
      <c r="F68" s="37" t="inlineStr">
        <is>
          <t>A student account set to Grade 8 with Maths available.</t>
        </is>
      </c>
      <c r="G68" s="37" t="inlineStr">
        <is>
          <t>1) For Grade 8 Maths, confirm Hindi content retrieves under language='hi' where indexed, or returns LANGUAGE_GAP.</t>
        </is>
      </c>
      <c r="H68" s="37" t="inlineStr">
        <is>
          <t>Hindi served where indexed; explicit LANGUAGE_GAP otherwise; never silent English.</t>
        </is>
      </c>
      <c r="I68" s="37" t="inlineStr">
        <is>
          <t>Evidence for Grade 8 Maths — Hindi availability (screenshot and/or SQL)</t>
        </is>
      </c>
      <c r="J68" s="43" t="inlineStr">
        <is>
          <t>NOT RUN</t>
        </is>
      </c>
      <c r="K68" s="37" t="inlineStr">
        <is>
          <t>Claude (pending env)</t>
        </is>
      </c>
      <c r="L68" s="37" t="n"/>
      <c r="M68" s="37" t="n"/>
      <c r="N68" s="37" t="inlineStr">
        <is>
          <t>[T3 | Phase 3 | Claude (pending env)] parametrized SQL probe via live/staging Supabase. awaiting live/staging Supabase read access + A/B test accounts</t>
        </is>
      </c>
    </row>
    <row r="69" ht="53.7" customHeight="1" s="29">
      <c r="A69" s="36" t="inlineStr">
        <is>
          <t>MX-CONTENT-0067</t>
        </is>
      </c>
      <c r="B69" s="54" t="inlineStr">
        <is>
          <t>P1</t>
        </is>
      </c>
      <c r="C69" s="36" t="inlineStr">
        <is>
          <t>Content/RAG</t>
        </is>
      </c>
      <c r="D69" s="36" t="inlineStr">
        <is>
          <t>Grade 8 · Science · Syllabus tree loads</t>
        </is>
      </c>
      <c r="E69" s="36" t="inlineStr">
        <is>
          <t>Confirms the 'Syllabus tree loads' dimension for Grade 8 Science. Coverage is proven per grade, per subject, per dimension — not claimed in aggregate. A gap on any dimension means that grade/subject is not truly launch-ready and must be fenced.</t>
        </is>
      </c>
      <c r="F69" s="36" t="inlineStr">
        <is>
          <t>A student account set to Grade 8 with Science available.</t>
        </is>
      </c>
      <c r="G69" s="36" t="inlineStr">
        <is>
          <t>1) Open the Science syllabus for Grade 8; confirm every chapter loads and the list matches cbse_syllabus exactly.</t>
        </is>
      </c>
      <c r="H69" s="36" t="inlineStr">
        <is>
          <t>Chapter list loads and matches the canonical taxonomy; no missing/extra/duplicate chapters.</t>
        </is>
      </c>
      <c r="I69" s="36" t="inlineStr">
        <is>
          <t>Evidence for Grade 8 Science — Syllabus tree loads (screenshot and/or SQL)</t>
        </is>
      </c>
      <c r="J69" s="41" t="inlineStr">
        <is>
          <t>NOT RUN</t>
        </is>
      </c>
      <c r="K69" s="36" t="inlineStr">
        <is>
          <t>Claude (pending env)</t>
        </is>
      </c>
      <c r="L69" s="36" t="n"/>
      <c r="M69" s="36" t="n"/>
      <c r="N69" s="36" t="inlineStr">
        <is>
          <t>[T4 | Phase 4 | Claude (pending env)] Playwright/authenticated-API against running env. awaiting running staging URL + test accounts</t>
        </is>
      </c>
    </row>
    <row r="70" ht="53.7" customHeight="1" s="29">
      <c r="A70" s="37" t="inlineStr">
        <is>
          <t>MX-CONTENT-0068</t>
        </is>
      </c>
      <c r="B70" s="54" t="inlineStr">
        <is>
          <t>P1</t>
        </is>
      </c>
      <c r="C70" s="37" t="inlineStr">
        <is>
          <t>Content/RAG</t>
        </is>
      </c>
      <c r="D70" s="37" t="inlineStr">
        <is>
          <t>Grade 8 · Science · Foxy in-syllabus grounding</t>
        </is>
      </c>
      <c r="E70" s="37" t="inlineStr">
        <is>
          <t>Confirms the 'Foxy in-syllabus grounding' dimension for Grade 8 Science. Coverage is proven per grade, per subject, per dimension — not claimed in aggregate. A gap on any dimension means that grade/subject is not truly launch-ready and must be fenced.</t>
        </is>
      </c>
      <c r="F70" s="37" t="inlineStr">
        <is>
          <t>A student account set to Grade 8 with Science available.</t>
        </is>
      </c>
      <c r="G70" s="37" t="inlineStr">
        <is>
          <t>1) Ask Foxy an in-syllabus Science question for Grade 8; confirm a grounded, cited answer from NCERT chunks.</t>
        </is>
      </c>
      <c r="H70" s="37" t="inlineStr">
        <is>
          <t>Answer is correct, on-syllabus, cited; grounded_ai_traces written.</t>
        </is>
      </c>
      <c r="I70" s="37" t="inlineStr">
        <is>
          <t>Evidence for Grade 8 Science — Foxy in-syllabus grounding (screenshot and/or SQL)</t>
        </is>
      </c>
      <c r="J70" s="43" t="inlineStr">
        <is>
          <t>NOT RUN</t>
        </is>
      </c>
      <c r="K70" s="37" t="inlineStr">
        <is>
          <t>Claude (pending env)</t>
        </is>
      </c>
      <c r="L70" s="37" t="n"/>
      <c r="M70" s="37" t="n"/>
      <c r="N70" s="37" t="inlineStr">
        <is>
          <t>[T4 | Phase 4 | Claude (pending env)] Playwright/authenticated-API against running env. awaiting running staging URL + test accounts</t>
        </is>
      </c>
    </row>
    <row r="71" ht="53.7" customHeight="1" s="29">
      <c r="A71" s="36" t="inlineStr">
        <is>
          <t>MX-CONTENT-0069</t>
        </is>
      </c>
      <c r="B71" s="54" t="inlineStr">
        <is>
          <t>P1</t>
        </is>
      </c>
      <c r="C71" s="36" t="inlineStr">
        <is>
          <t>Content/RAG</t>
        </is>
      </c>
      <c r="D71" s="36" t="inlineStr">
        <is>
          <t>Grade 8 · Science · Foxy out-of-syllabus refusal</t>
        </is>
      </c>
      <c r="E71" s="36" t="inlineStr">
        <is>
          <t>Confirms the 'Foxy out-of-syllabus refusal' dimension for Grade 8 Science. Coverage is proven per grade, per subject, per dimension — not claimed in aggregate. A gap on any dimension means that grade/subject is not truly launch-ready and must be fenced.</t>
        </is>
      </c>
      <c r="F71" s="36" t="inlineStr">
        <is>
          <t>A student account set to Grade 8 with Science available.</t>
        </is>
      </c>
      <c r="G71" s="36" t="inlineStr">
        <is>
          <t>1) Ask Foxy an out-of-syllabus Science question for Grade 8; confirm CURRICULUM_GAP, not a fabricated answer.</t>
        </is>
      </c>
      <c r="H71" s="36" t="inlineStr">
        <is>
          <t>Structured CURRICULUM_GAP returned; content_gaps logged; no hallucination.</t>
        </is>
      </c>
      <c r="I71" s="36" t="inlineStr">
        <is>
          <t>Evidence for Grade 8 Science — Foxy out-of-syllabus refusal (screenshot and/or SQL)</t>
        </is>
      </c>
      <c r="J71" s="41" t="inlineStr">
        <is>
          <t>NOT RUN</t>
        </is>
      </c>
      <c r="K71" s="36" t="inlineStr">
        <is>
          <t>Claude (pending env)</t>
        </is>
      </c>
      <c r="L71" s="36" t="n"/>
      <c r="M71" s="36" t="n"/>
      <c r="N71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72" ht="53.7" customHeight="1" s="29">
      <c r="A72" s="37" t="inlineStr">
        <is>
          <t>MX-CONTENT-0070</t>
        </is>
      </c>
      <c r="B72" s="54" t="inlineStr">
        <is>
          <t>P1</t>
        </is>
      </c>
      <c r="C72" s="37" t="inlineStr">
        <is>
          <t>Content/RAG</t>
        </is>
      </c>
      <c r="D72" s="37" t="inlineStr">
        <is>
          <t>Grade 8 · Science · Quiz generation (verified-only)</t>
        </is>
      </c>
      <c r="E72" s="37" t="inlineStr">
        <is>
          <t>Confirms the 'Quiz generation (verified-only)' dimension for Grade 8 Science. Coverage is proven per grade, per subject, per dimension — not claimed in aggregate. A gap on any dimension means that grade/subject is not truly launch-ready and must be fenced.</t>
        </is>
      </c>
      <c r="F72" s="37" t="inlineStr">
        <is>
          <t>A student account set to Grade 8 with Science available.</t>
        </is>
      </c>
      <c r="G72" s="37" t="inlineStr">
        <is>
          <t>1) Generate/take a Science quiz for Grade 8; collect served ids and confirm all are verification_state='verified'.</t>
        </is>
      </c>
      <c r="H72" s="37" t="inlineStr">
        <is>
          <t>Quiz generates; 100% of served questions are verified; none unverified.</t>
        </is>
      </c>
      <c r="I72" s="37" t="inlineStr">
        <is>
          <t>Evidence for Grade 8 Science — Quiz generation (verified-only) (screenshot and/or SQL)</t>
        </is>
      </c>
      <c r="J72" s="43" t="inlineStr">
        <is>
          <t>NOT RUN</t>
        </is>
      </c>
      <c r="K72" s="37" t="inlineStr">
        <is>
          <t>Claude (pending env)</t>
        </is>
      </c>
      <c r="L72" s="37" t="n"/>
      <c r="M72" s="37" t="n"/>
      <c r="N72" s="37" t="inlineStr">
        <is>
          <t>[T4 | Phase 4 | Claude (pending env)] Playwright/authenticated-API against running env. awaiting running staging URL + test accounts</t>
        </is>
      </c>
    </row>
    <row r="73" ht="53.7" customHeight="1" s="29">
      <c r="A73" s="36" t="inlineStr">
        <is>
          <t>MX-CONTENT-0071</t>
        </is>
      </c>
      <c r="B73" s="55" t="inlineStr">
        <is>
          <t>P2</t>
        </is>
      </c>
      <c r="C73" s="36" t="inlineStr">
        <is>
          <t>Content/RAG</t>
        </is>
      </c>
      <c r="D73" s="36" t="inlineStr">
        <is>
          <t>Grade 8 · Science · Readiness honesty</t>
        </is>
      </c>
      <c r="E73" s="36" t="inlineStr">
        <is>
          <t>Confirms the 'Readiness honesty' dimension for Grade 8 Science. Coverage is proven per grade, per subject, per dimension — not claimed in aggregate. A gap on any dimension means that grade/subject is not truly launch-ready and must be fenced.</t>
        </is>
      </c>
      <c r="F73" s="36" t="inlineStr">
        <is>
          <t>A student account set to Grade 8 with Science available.</t>
        </is>
      </c>
      <c r="G73" s="36" t="inlineStr">
        <is>
          <t>1) For one Grade 8 Science chapter, compare cbse_syllabus rag_status/chunk_count/verified count to the actual indexed rows.</t>
        </is>
      </c>
      <c r="H73" s="36" t="inlineStr">
        <is>
          <t>Stored readiness matches reality for the sampled chapter.</t>
        </is>
      </c>
      <c r="I73" s="36" t="inlineStr">
        <is>
          <t>Evidence for Grade 8 Science — Readiness honesty (screenshot and/or SQL)</t>
        </is>
      </c>
      <c r="J73" s="41" t="inlineStr">
        <is>
          <t>NOT RUN</t>
        </is>
      </c>
      <c r="K73" s="36" t="inlineStr">
        <is>
          <t>Claude (pending env)</t>
        </is>
      </c>
      <c r="L73" s="36" t="n"/>
      <c r="M73" s="36" t="n"/>
      <c r="N73" s="36" t="inlineStr">
        <is>
          <t>[T3 | Phase 3 | Claude (pending env)] parametrized SQL probe via live/staging Supabase. awaiting live/staging Supabase read access + A/B test accounts</t>
        </is>
      </c>
    </row>
    <row r="74" ht="43.25" customHeight="1" s="29">
      <c r="A74" s="37" t="inlineStr">
        <is>
          <t>MX-CONTENT-0072</t>
        </is>
      </c>
      <c r="B74" s="55" t="inlineStr">
        <is>
          <t>P2</t>
        </is>
      </c>
      <c r="C74" s="37" t="inlineStr">
        <is>
          <t>Content/RAG</t>
        </is>
      </c>
      <c r="D74" s="37" t="inlineStr">
        <is>
          <t>Grade 8 · Science · Hindi availability</t>
        </is>
      </c>
      <c r="E74" s="37" t="inlineStr">
        <is>
          <t>Confirms the 'Hindi availability' dimension for Grade 8 Science. Coverage is proven per grade, per subject, per dimension — not claimed in aggregate. A gap on any dimension means that grade/subject is not truly launch-ready and must be fenced.</t>
        </is>
      </c>
      <c r="F74" s="37" t="inlineStr">
        <is>
          <t>A student account set to Grade 8 with Science available.</t>
        </is>
      </c>
      <c r="G74" s="37" t="inlineStr">
        <is>
          <t>1) For Grade 8 Science, confirm Hindi content retrieves under language='hi' where indexed, or returns LANGUAGE_GAP.</t>
        </is>
      </c>
      <c r="H74" s="37" t="inlineStr">
        <is>
          <t>Hindi served where indexed; explicit LANGUAGE_GAP otherwise; never silent English.</t>
        </is>
      </c>
      <c r="I74" s="37" t="inlineStr">
        <is>
          <t>Evidence for Grade 8 Science — Hindi availability (screenshot and/or SQL)</t>
        </is>
      </c>
      <c r="J74" s="43" t="inlineStr">
        <is>
          <t>NOT RUN</t>
        </is>
      </c>
      <c r="K74" s="37" t="inlineStr">
        <is>
          <t>Claude (pending env)</t>
        </is>
      </c>
      <c r="L74" s="37" t="n"/>
      <c r="M74" s="37" t="n"/>
      <c r="N74" s="37" t="inlineStr">
        <is>
          <t>[T3 | Phase 3 | Claude (pending env)] parametrized SQL probe via live/staging Supabase. awaiting live/staging Supabase read access + A/B test accounts</t>
        </is>
      </c>
    </row>
    <row r="75" ht="53.7" customHeight="1" s="29">
      <c r="A75" s="36" t="inlineStr">
        <is>
          <t>MX-CONTENT-0073</t>
        </is>
      </c>
      <c r="B75" s="54" t="inlineStr">
        <is>
          <t>P1</t>
        </is>
      </c>
      <c r="C75" s="36" t="inlineStr">
        <is>
          <t>Content/RAG</t>
        </is>
      </c>
      <c r="D75" s="36" t="inlineStr">
        <is>
          <t>Grade 8 · Social Science · Syllabus tree loads</t>
        </is>
      </c>
      <c r="E75" s="36" t="inlineStr">
        <is>
          <t>Confirms the 'Syllabus tree loads' dimension for Grade 8 Social Science. Coverage is proven per grade, per subject, per dimension — not claimed in aggregate. A gap on any dimension means that grade/subject is not truly launch-ready and must be fenced.</t>
        </is>
      </c>
      <c r="F75" s="36" t="inlineStr">
        <is>
          <t>A student account set to Grade 8 with Social Science available.</t>
        </is>
      </c>
      <c r="G75" s="36" t="inlineStr">
        <is>
          <t>1) Open the Social Science syllabus for Grade 8; confirm every chapter loads and the list matches cbse_syllabus exactly.</t>
        </is>
      </c>
      <c r="H75" s="36" t="inlineStr">
        <is>
          <t>Chapter list loads and matches the canonical taxonomy; no missing/extra/duplicate chapters.</t>
        </is>
      </c>
      <c r="I75" s="36" t="inlineStr">
        <is>
          <t>Evidence for Grade 8 Social Science — Syllabus tree loads (screenshot and/or SQL)</t>
        </is>
      </c>
      <c r="J75" s="41" t="inlineStr">
        <is>
          <t>NOT RUN</t>
        </is>
      </c>
      <c r="K75" s="36" t="inlineStr">
        <is>
          <t>Claude (pending env)</t>
        </is>
      </c>
      <c r="L75" s="36" t="n"/>
      <c r="M75" s="36" t="n"/>
      <c r="N75" s="36" t="inlineStr">
        <is>
          <t>[T4 | Phase 4 | Claude (pending env)] Playwright/authenticated-API against running env. awaiting running staging URL + test accounts</t>
        </is>
      </c>
    </row>
    <row r="76" ht="53.7" customHeight="1" s="29">
      <c r="A76" s="37" t="inlineStr">
        <is>
          <t>MX-CONTENT-0074</t>
        </is>
      </c>
      <c r="B76" s="54" t="inlineStr">
        <is>
          <t>P1</t>
        </is>
      </c>
      <c r="C76" s="37" t="inlineStr">
        <is>
          <t>Content/RAG</t>
        </is>
      </c>
      <c r="D76" s="37" t="inlineStr">
        <is>
          <t>Grade 8 · Social Science · Foxy in-syllabus grounding</t>
        </is>
      </c>
      <c r="E76" s="37" t="inlineStr">
        <is>
          <t>Confirms the 'Foxy in-syllabus grounding' dimension for Grade 8 Social Science. Coverage is proven per grade, per subject, per dimension — not claimed in aggregate. A gap on any dimension means that grade/subject is not truly launch-ready and must be fenced.</t>
        </is>
      </c>
      <c r="F76" s="37" t="inlineStr">
        <is>
          <t>A student account set to Grade 8 with Social Science available.</t>
        </is>
      </c>
      <c r="G76" s="37" t="inlineStr">
        <is>
          <t>1) Ask Foxy an in-syllabus Social Science question for Grade 8; confirm a grounded, cited answer from NCERT chunks.</t>
        </is>
      </c>
      <c r="H76" s="37" t="inlineStr">
        <is>
          <t>Answer is correct, on-syllabus, cited; grounded_ai_traces written.</t>
        </is>
      </c>
      <c r="I76" s="37" t="inlineStr">
        <is>
          <t>Evidence for Grade 8 Social Science — Foxy in-syllabus grounding (screenshot and/or SQL)</t>
        </is>
      </c>
      <c r="J76" s="43" t="inlineStr">
        <is>
          <t>NOT RUN</t>
        </is>
      </c>
      <c r="K76" s="37" t="inlineStr">
        <is>
          <t>Claude (pending env)</t>
        </is>
      </c>
      <c r="L76" s="37" t="n"/>
      <c r="M76" s="37" t="n"/>
      <c r="N76" s="37" t="inlineStr">
        <is>
          <t>[T4 | Phase 4 | Claude (pending env)] Playwright/authenticated-API against running env. awaiting running staging URL + test accounts</t>
        </is>
      </c>
    </row>
    <row r="77" ht="53.7" customHeight="1" s="29">
      <c r="A77" s="36" t="inlineStr">
        <is>
          <t>MX-CONTENT-0075</t>
        </is>
      </c>
      <c r="B77" s="54" t="inlineStr">
        <is>
          <t>P1</t>
        </is>
      </c>
      <c r="C77" s="36" t="inlineStr">
        <is>
          <t>Content/RAG</t>
        </is>
      </c>
      <c r="D77" s="36" t="inlineStr">
        <is>
          <t>Grade 8 · Social Science · Foxy out-of-syllabus refusal</t>
        </is>
      </c>
      <c r="E77" s="36" t="inlineStr">
        <is>
          <t>Confirms the 'Foxy out-of-syllabus refusal' dimension for Grade 8 Social Science. Coverage is proven per grade, per subject, per dimension — not claimed in aggregate. A gap on any dimension means that grade/subject is not truly launch-ready and must be fenced.</t>
        </is>
      </c>
      <c r="F77" s="36" t="inlineStr">
        <is>
          <t>A student account set to Grade 8 with Social Science available.</t>
        </is>
      </c>
      <c r="G77" s="36" t="inlineStr">
        <is>
          <t>1) Ask Foxy an out-of-syllabus Social Science question for Grade 8; confirm CURRICULUM_GAP, not a fabricated answer.</t>
        </is>
      </c>
      <c r="H77" s="36" t="inlineStr">
        <is>
          <t>Structured CURRICULUM_GAP returned; content_gaps logged; no hallucination.</t>
        </is>
      </c>
      <c r="I77" s="36" t="inlineStr">
        <is>
          <t>Evidence for Grade 8 Social Science — Foxy out-of-syllabus refusal (screenshot and/or SQL)</t>
        </is>
      </c>
      <c r="J77" s="41" t="inlineStr">
        <is>
          <t>NOT RUN</t>
        </is>
      </c>
      <c r="K77" s="36" t="inlineStr">
        <is>
          <t>Claude (pending env)</t>
        </is>
      </c>
      <c r="L77" s="36" t="n"/>
      <c r="M77" s="36" t="n"/>
      <c r="N77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78" ht="53.7" customHeight="1" s="29">
      <c r="A78" s="37" t="inlineStr">
        <is>
          <t>MX-CONTENT-0076</t>
        </is>
      </c>
      <c r="B78" s="54" t="inlineStr">
        <is>
          <t>P1</t>
        </is>
      </c>
      <c r="C78" s="37" t="inlineStr">
        <is>
          <t>Content/RAG</t>
        </is>
      </c>
      <c r="D78" s="37" t="inlineStr">
        <is>
          <t>Grade 8 · Social Science · Quiz generation (verified-only)</t>
        </is>
      </c>
      <c r="E78" s="37" t="inlineStr">
        <is>
          <t>Confirms the 'Quiz generation (verified-only)' dimension for Grade 8 Social Science. Coverage is proven per grade, per subject, per dimension — not claimed in aggregate. A gap on any dimension means that grade/subject is not truly launch-ready and must be fenced.</t>
        </is>
      </c>
      <c r="F78" s="37" t="inlineStr">
        <is>
          <t>A student account set to Grade 8 with Social Science available.</t>
        </is>
      </c>
      <c r="G78" s="37" t="inlineStr">
        <is>
          <t>1) Generate/take a Social Science quiz for Grade 8; collect served ids and confirm all are verification_state='verified'.</t>
        </is>
      </c>
      <c r="H78" s="37" t="inlineStr">
        <is>
          <t>Quiz generates; 100% of served questions are verified; none unverified.</t>
        </is>
      </c>
      <c r="I78" s="37" t="inlineStr">
        <is>
          <t>Evidence for Grade 8 Social Science — Quiz generation (verified-only) (screenshot and/or SQL)</t>
        </is>
      </c>
      <c r="J78" s="43" t="inlineStr">
        <is>
          <t>NOT RUN</t>
        </is>
      </c>
      <c r="K78" s="37" t="inlineStr">
        <is>
          <t>Claude (pending env)</t>
        </is>
      </c>
      <c r="L78" s="37" t="n"/>
      <c r="M78" s="37" t="n"/>
      <c r="N78" s="37" t="inlineStr">
        <is>
          <t>[T4 | Phase 4 | Claude (pending env)] Playwright/authenticated-API against running env. awaiting running staging URL + test accounts</t>
        </is>
      </c>
    </row>
    <row r="79" ht="53.7" customHeight="1" s="29">
      <c r="A79" s="36" t="inlineStr">
        <is>
          <t>MX-CONTENT-0077</t>
        </is>
      </c>
      <c r="B79" s="55" t="inlineStr">
        <is>
          <t>P2</t>
        </is>
      </c>
      <c r="C79" s="36" t="inlineStr">
        <is>
          <t>Content/RAG</t>
        </is>
      </c>
      <c r="D79" s="36" t="inlineStr">
        <is>
          <t>Grade 8 · Social Science · Readiness honesty</t>
        </is>
      </c>
      <c r="E79" s="36" t="inlineStr">
        <is>
          <t>Confirms the 'Readiness honesty' dimension for Grade 8 Social Science. Coverage is proven per grade, per subject, per dimension — not claimed in aggregate. A gap on any dimension means that grade/subject is not truly launch-ready and must be fenced.</t>
        </is>
      </c>
      <c r="F79" s="36" t="inlineStr">
        <is>
          <t>A student account set to Grade 8 with Social Science available.</t>
        </is>
      </c>
      <c r="G79" s="36" t="inlineStr">
        <is>
          <t>1) For one Grade 8 Social Science chapter, compare cbse_syllabus rag_status/chunk_count/verified count to the actual indexed rows.</t>
        </is>
      </c>
      <c r="H79" s="36" t="inlineStr">
        <is>
          <t>Stored readiness matches reality for the sampled chapter.</t>
        </is>
      </c>
      <c r="I79" s="36" t="inlineStr">
        <is>
          <t>Evidence for Grade 8 Social Science — Readiness honesty (screenshot and/or SQL)</t>
        </is>
      </c>
      <c r="J79" s="41" t="inlineStr">
        <is>
          <t>NOT RUN</t>
        </is>
      </c>
      <c r="K79" s="36" t="inlineStr">
        <is>
          <t>Claude (pending env)</t>
        </is>
      </c>
      <c r="L79" s="36" t="n"/>
      <c r="M79" s="36" t="n"/>
      <c r="N79" s="36" t="inlineStr">
        <is>
          <t>[T3 | Phase 3 | Claude (pending env)] parametrized SQL probe via live/staging Supabase. awaiting live/staging Supabase read access + A/B test accounts</t>
        </is>
      </c>
    </row>
    <row r="80" ht="53.7" customHeight="1" s="29">
      <c r="A80" s="37" t="inlineStr">
        <is>
          <t>MX-CONTENT-0078</t>
        </is>
      </c>
      <c r="B80" s="55" t="inlineStr">
        <is>
          <t>P2</t>
        </is>
      </c>
      <c r="C80" s="37" t="inlineStr">
        <is>
          <t>Content/RAG</t>
        </is>
      </c>
      <c r="D80" s="37" t="inlineStr">
        <is>
          <t>Grade 8 · Social Science · Hindi availability</t>
        </is>
      </c>
      <c r="E80" s="37" t="inlineStr">
        <is>
          <t>Confirms the 'Hindi availability' dimension for Grade 8 Social Science. Coverage is proven per grade, per subject, per dimension — not claimed in aggregate. A gap on any dimension means that grade/subject is not truly launch-ready and must be fenced.</t>
        </is>
      </c>
      <c r="F80" s="37" t="inlineStr">
        <is>
          <t>A student account set to Grade 8 with Social Science available.</t>
        </is>
      </c>
      <c r="G80" s="37" t="inlineStr">
        <is>
          <t>1) For Grade 8 Social Science, confirm Hindi content retrieves under language='hi' where indexed, or returns LANGUAGE_GAP.</t>
        </is>
      </c>
      <c r="H80" s="37" t="inlineStr">
        <is>
          <t>Hindi served where indexed; explicit LANGUAGE_GAP otherwise; never silent English.</t>
        </is>
      </c>
      <c r="I80" s="37" t="inlineStr">
        <is>
          <t>Evidence for Grade 8 Social Science — Hindi availability (screenshot and/or SQL)</t>
        </is>
      </c>
      <c r="J80" s="43" t="inlineStr">
        <is>
          <t>NOT RUN</t>
        </is>
      </c>
      <c r="K80" s="37" t="inlineStr">
        <is>
          <t>Claude (pending env)</t>
        </is>
      </c>
      <c r="L80" s="37" t="n"/>
      <c r="M80" s="37" t="n"/>
      <c r="N80" s="37" t="inlineStr">
        <is>
          <t>[T3 | Phase 3 | Claude (pending env)] parametrized SQL probe via live/staging Supabase. awaiting live/staging Supabase read access + A/B test accounts</t>
        </is>
      </c>
    </row>
    <row r="81" ht="53.7" customHeight="1" s="29">
      <c r="A81" s="36" t="inlineStr">
        <is>
          <t>MX-CONTENT-0079</t>
        </is>
      </c>
      <c r="B81" s="54" t="inlineStr">
        <is>
          <t>P1</t>
        </is>
      </c>
      <c r="C81" s="36" t="inlineStr">
        <is>
          <t>Content/RAG</t>
        </is>
      </c>
      <c r="D81" s="36" t="inlineStr">
        <is>
          <t>Grade 8 · English · Syllabus tree loads</t>
        </is>
      </c>
      <c r="E81" s="36" t="inlineStr">
        <is>
          <t>Confirms the 'Syllabus tree loads' dimension for Grade 8 English. Coverage is proven per grade, per subject, per dimension — not claimed in aggregate. A gap on any dimension means that grade/subject is not truly launch-ready and must be fenced.</t>
        </is>
      </c>
      <c r="F81" s="36" t="inlineStr">
        <is>
          <t>A student account set to Grade 8 with English available.</t>
        </is>
      </c>
      <c r="G81" s="36" t="inlineStr">
        <is>
          <t>1) Open the English syllabus for Grade 8; confirm every chapter loads and the list matches cbse_syllabus exactly.</t>
        </is>
      </c>
      <c r="H81" s="36" t="inlineStr">
        <is>
          <t>Chapter list loads and matches the canonical taxonomy; no missing/extra/duplicate chapters.</t>
        </is>
      </c>
      <c r="I81" s="36" t="inlineStr">
        <is>
          <t>Evidence for Grade 8 English — Syllabus tree loads (screenshot and/or SQL)</t>
        </is>
      </c>
      <c r="J81" s="41" t="inlineStr">
        <is>
          <t>NOT RUN</t>
        </is>
      </c>
      <c r="K81" s="36" t="inlineStr">
        <is>
          <t>Claude (pending env)</t>
        </is>
      </c>
      <c r="L81" s="36" t="n"/>
      <c r="M81" s="36" t="n"/>
      <c r="N81" s="36" t="inlineStr">
        <is>
          <t>[T4 | Phase 4 | Claude (pending env)] Playwright/authenticated-API against running env. awaiting running staging URL + test accounts</t>
        </is>
      </c>
    </row>
    <row r="82" ht="53.7" customHeight="1" s="29">
      <c r="A82" s="37" t="inlineStr">
        <is>
          <t>MX-CONTENT-0080</t>
        </is>
      </c>
      <c r="B82" s="54" t="inlineStr">
        <is>
          <t>P1</t>
        </is>
      </c>
      <c r="C82" s="37" t="inlineStr">
        <is>
          <t>Content/RAG</t>
        </is>
      </c>
      <c r="D82" s="37" t="inlineStr">
        <is>
          <t>Grade 8 · English · Foxy in-syllabus grounding</t>
        </is>
      </c>
      <c r="E82" s="37" t="inlineStr">
        <is>
          <t>Confirms the 'Foxy in-syllabus grounding' dimension for Grade 8 English. Coverage is proven per grade, per subject, per dimension — not claimed in aggregate. A gap on any dimension means that grade/subject is not truly launch-ready and must be fenced.</t>
        </is>
      </c>
      <c r="F82" s="37" t="inlineStr">
        <is>
          <t>A student account set to Grade 8 with English available.</t>
        </is>
      </c>
      <c r="G82" s="37" t="inlineStr">
        <is>
          <t>1) Ask Foxy an in-syllabus English question for Grade 8; confirm a grounded, cited answer from NCERT chunks.</t>
        </is>
      </c>
      <c r="H82" s="37" t="inlineStr">
        <is>
          <t>Answer is correct, on-syllabus, cited; grounded_ai_traces written.</t>
        </is>
      </c>
      <c r="I82" s="37" t="inlineStr">
        <is>
          <t>Evidence for Grade 8 English — Foxy in-syllabus grounding (screenshot and/or SQL)</t>
        </is>
      </c>
      <c r="J82" s="43" t="inlineStr">
        <is>
          <t>NOT RUN</t>
        </is>
      </c>
      <c r="K82" s="37" t="inlineStr">
        <is>
          <t>Claude (pending env)</t>
        </is>
      </c>
      <c r="L82" s="37" t="n"/>
      <c r="M82" s="37" t="n"/>
      <c r="N82" s="37" t="inlineStr">
        <is>
          <t>[T4 | Phase 4 | Claude (pending env)] Playwright/authenticated-API against running env. awaiting running staging URL + test accounts</t>
        </is>
      </c>
    </row>
    <row r="83" ht="53.7" customHeight="1" s="29">
      <c r="A83" s="36" t="inlineStr">
        <is>
          <t>MX-CONTENT-0081</t>
        </is>
      </c>
      <c r="B83" s="54" t="inlineStr">
        <is>
          <t>P1</t>
        </is>
      </c>
      <c r="C83" s="36" t="inlineStr">
        <is>
          <t>Content/RAG</t>
        </is>
      </c>
      <c r="D83" s="36" t="inlineStr">
        <is>
          <t>Grade 8 · English · Foxy out-of-syllabus refusal</t>
        </is>
      </c>
      <c r="E83" s="36" t="inlineStr">
        <is>
          <t>Confirms the 'Foxy out-of-syllabus refusal' dimension for Grade 8 English. Coverage is proven per grade, per subject, per dimension — not claimed in aggregate. A gap on any dimension means that grade/subject is not truly launch-ready and must be fenced.</t>
        </is>
      </c>
      <c r="F83" s="36" t="inlineStr">
        <is>
          <t>A student account set to Grade 8 with English available.</t>
        </is>
      </c>
      <c r="G83" s="36" t="inlineStr">
        <is>
          <t>1) Ask Foxy an out-of-syllabus English question for Grade 8; confirm CURRICULUM_GAP, not a fabricated answer.</t>
        </is>
      </c>
      <c r="H83" s="36" t="inlineStr">
        <is>
          <t>Structured CURRICULUM_GAP returned; content_gaps logged; no hallucination.</t>
        </is>
      </c>
      <c r="I83" s="36" t="inlineStr">
        <is>
          <t>Evidence for Grade 8 English — Foxy out-of-syllabus refusal (screenshot and/or SQL)</t>
        </is>
      </c>
      <c r="J83" s="41" t="inlineStr">
        <is>
          <t>NOT RUN</t>
        </is>
      </c>
      <c r="K83" s="36" t="inlineStr">
        <is>
          <t>Claude (pending env)</t>
        </is>
      </c>
      <c r="L83" s="36" t="n"/>
      <c r="M83" s="36" t="n"/>
      <c r="N83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84" ht="53.7" customHeight="1" s="29">
      <c r="A84" s="37" t="inlineStr">
        <is>
          <t>MX-CONTENT-0082</t>
        </is>
      </c>
      <c r="B84" s="54" t="inlineStr">
        <is>
          <t>P1</t>
        </is>
      </c>
      <c r="C84" s="37" t="inlineStr">
        <is>
          <t>Content/RAG</t>
        </is>
      </c>
      <c r="D84" s="37" t="inlineStr">
        <is>
          <t>Grade 8 · English · Quiz generation (verified-only)</t>
        </is>
      </c>
      <c r="E84" s="37" t="inlineStr">
        <is>
          <t>Confirms the 'Quiz generation (verified-only)' dimension for Grade 8 English. Coverage is proven per grade, per subject, per dimension — not claimed in aggregate. A gap on any dimension means that grade/subject is not truly launch-ready and must be fenced.</t>
        </is>
      </c>
      <c r="F84" s="37" t="inlineStr">
        <is>
          <t>A student account set to Grade 8 with English available.</t>
        </is>
      </c>
      <c r="G84" s="37" t="inlineStr">
        <is>
          <t>1) Generate/take a English quiz for Grade 8; collect served ids and confirm all are verification_state='verified'.</t>
        </is>
      </c>
      <c r="H84" s="37" t="inlineStr">
        <is>
          <t>Quiz generates; 100% of served questions are verified; none unverified.</t>
        </is>
      </c>
      <c r="I84" s="37" t="inlineStr">
        <is>
          <t>Evidence for Grade 8 English — Quiz generation (verified-only) (screenshot and/or SQL)</t>
        </is>
      </c>
      <c r="J84" s="43" t="inlineStr">
        <is>
          <t>NOT RUN</t>
        </is>
      </c>
      <c r="K84" s="37" t="inlineStr">
        <is>
          <t>Claude (pending env)</t>
        </is>
      </c>
      <c r="L84" s="37" t="n"/>
      <c r="M84" s="37" t="n"/>
      <c r="N84" s="37" t="inlineStr">
        <is>
          <t>[T4 | Phase 4 | Claude (pending env)] Playwright/authenticated-API against running env. awaiting running staging URL + test accounts</t>
        </is>
      </c>
    </row>
    <row r="85" ht="53.7" customHeight="1" s="29">
      <c r="A85" s="36" t="inlineStr">
        <is>
          <t>MX-CONTENT-0083</t>
        </is>
      </c>
      <c r="B85" s="55" t="inlineStr">
        <is>
          <t>P2</t>
        </is>
      </c>
      <c r="C85" s="36" t="inlineStr">
        <is>
          <t>Content/RAG</t>
        </is>
      </c>
      <c r="D85" s="36" t="inlineStr">
        <is>
          <t>Grade 8 · English · Readiness honesty</t>
        </is>
      </c>
      <c r="E85" s="36" t="inlineStr">
        <is>
          <t>Confirms the 'Readiness honesty' dimension for Grade 8 English. Coverage is proven per grade, per subject, per dimension — not claimed in aggregate. A gap on any dimension means that grade/subject is not truly launch-ready and must be fenced.</t>
        </is>
      </c>
      <c r="F85" s="36" t="inlineStr">
        <is>
          <t>A student account set to Grade 8 with English available.</t>
        </is>
      </c>
      <c r="G85" s="36" t="inlineStr">
        <is>
          <t>1) For one Grade 8 English chapter, compare cbse_syllabus rag_status/chunk_count/verified count to the actual indexed rows.</t>
        </is>
      </c>
      <c r="H85" s="36" t="inlineStr">
        <is>
          <t>Stored readiness matches reality for the sampled chapter.</t>
        </is>
      </c>
      <c r="I85" s="36" t="inlineStr">
        <is>
          <t>Evidence for Grade 8 English — Readiness honesty (screenshot and/or SQL)</t>
        </is>
      </c>
      <c r="J85" s="41" t="inlineStr">
        <is>
          <t>NOT RUN</t>
        </is>
      </c>
      <c r="K85" s="36" t="inlineStr">
        <is>
          <t>Claude (pending env)</t>
        </is>
      </c>
      <c r="L85" s="36" t="n"/>
      <c r="M85" s="36" t="n"/>
      <c r="N85" s="36" t="inlineStr">
        <is>
          <t>[T3 | Phase 3 | Claude (pending env)] parametrized SQL probe via live/staging Supabase. awaiting live/staging Supabase read access + A/B test accounts</t>
        </is>
      </c>
    </row>
    <row r="86" ht="43.25" customHeight="1" s="29">
      <c r="A86" s="37" t="inlineStr">
        <is>
          <t>MX-CONTENT-0084</t>
        </is>
      </c>
      <c r="B86" s="55" t="inlineStr">
        <is>
          <t>P2</t>
        </is>
      </c>
      <c r="C86" s="37" t="inlineStr">
        <is>
          <t>Content/RAG</t>
        </is>
      </c>
      <c r="D86" s="37" t="inlineStr">
        <is>
          <t>Grade 8 · English · Hindi availability</t>
        </is>
      </c>
      <c r="E86" s="37" t="inlineStr">
        <is>
          <t>Confirms the 'Hindi availability' dimension for Grade 8 English. Coverage is proven per grade, per subject, per dimension — not claimed in aggregate. A gap on any dimension means that grade/subject is not truly launch-ready and must be fenced.</t>
        </is>
      </c>
      <c r="F86" s="37" t="inlineStr">
        <is>
          <t>A student account set to Grade 8 with English available.</t>
        </is>
      </c>
      <c r="G86" s="37" t="inlineStr">
        <is>
          <t>1) For Grade 8 English, confirm Hindi content retrieves under language='hi' where indexed, or returns LANGUAGE_GAP.</t>
        </is>
      </c>
      <c r="H86" s="37" t="inlineStr">
        <is>
          <t>Hindi served where indexed; explicit LANGUAGE_GAP otherwise; never silent English.</t>
        </is>
      </c>
      <c r="I86" s="37" t="inlineStr">
        <is>
          <t>Evidence for Grade 8 English — Hindi availability (screenshot and/or SQL)</t>
        </is>
      </c>
      <c r="J86" s="43" t="inlineStr">
        <is>
          <t>NOT RUN</t>
        </is>
      </c>
      <c r="K86" s="37" t="inlineStr">
        <is>
          <t>Claude (pending env)</t>
        </is>
      </c>
      <c r="L86" s="37" t="n"/>
      <c r="M86" s="37" t="n"/>
      <c r="N86" s="37" t="inlineStr">
        <is>
          <t>[T3 | Phase 3 | Claude (pending env)] parametrized SQL probe via live/staging Supabase. awaiting live/staging Supabase read access + A/B test accounts. FINDING: LANGUAGE_GAP not implemented in code (docs only) -&gt; candidate P-defect, not auto-PASS</t>
        </is>
      </c>
    </row>
    <row r="87" ht="43.25" customHeight="1" s="29">
      <c r="A87" s="36" t="inlineStr">
        <is>
          <t>MX-CONTENT-0085</t>
        </is>
      </c>
      <c r="B87" s="54" t="inlineStr">
        <is>
          <t>P1</t>
        </is>
      </c>
      <c r="C87" s="36" t="inlineStr">
        <is>
          <t>Content/RAG</t>
        </is>
      </c>
      <c r="D87" s="36" t="inlineStr">
        <is>
          <t>Grade 8 · Hindi · Syllabus tree loads</t>
        </is>
      </c>
      <c r="E87" s="36" t="inlineStr">
        <is>
          <t>Confirms the 'Syllabus tree loads' dimension for Grade 8 Hindi. Coverage is proven per grade, per subject, per dimension — not claimed in aggregate. A gap on any dimension means that grade/subject is not truly launch-ready and must be fenced.</t>
        </is>
      </c>
      <c r="F87" s="36" t="inlineStr">
        <is>
          <t>A student account set to Grade 8 with Hindi available.</t>
        </is>
      </c>
      <c r="G87" s="36" t="inlineStr">
        <is>
          <t>1) Open the Hindi syllabus for Grade 8; confirm every chapter loads and the list matches cbse_syllabus exactly.</t>
        </is>
      </c>
      <c r="H87" s="36" t="inlineStr">
        <is>
          <t>Chapter list loads and matches the canonical taxonomy; no missing/extra/duplicate chapters.</t>
        </is>
      </c>
      <c r="I87" s="36" t="inlineStr">
        <is>
          <t>Evidence for Grade 8 Hindi — Syllabus tree loads (screenshot and/or SQL)</t>
        </is>
      </c>
      <c r="J87" s="41" t="inlineStr">
        <is>
          <t>NOT RUN</t>
        </is>
      </c>
      <c r="K87" s="36" t="inlineStr">
        <is>
          <t>Claude (pending env)</t>
        </is>
      </c>
      <c r="L87" s="36" t="n"/>
      <c r="M87" s="36" t="n"/>
      <c r="N87" s="36" t="inlineStr">
        <is>
          <t>[T4 | Phase 4 | Claude (pending env)] Playwright/authenticated-API against running env. awaiting running staging URL + test accounts</t>
        </is>
      </c>
    </row>
    <row r="88" ht="43.25" customHeight="1" s="29">
      <c r="A88" s="37" t="inlineStr">
        <is>
          <t>MX-CONTENT-0086</t>
        </is>
      </c>
      <c r="B88" s="54" t="inlineStr">
        <is>
          <t>P1</t>
        </is>
      </c>
      <c r="C88" s="37" t="inlineStr">
        <is>
          <t>Content/RAG</t>
        </is>
      </c>
      <c r="D88" s="37" t="inlineStr">
        <is>
          <t>Grade 8 · Hindi · Foxy in-syllabus grounding</t>
        </is>
      </c>
      <c r="E88" s="37" t="inlineStr">
        <is>
          <t>Confirms the 'Foxy in-syllabus grounding' dimension for Grade 8 Hindi. Coverage is proven per grade, per subject, per dimension — not claimed in aggregate. A gap on any dimension means that grade/subject is not truly launch-ready and must be fenced.</t>
        </is>
      </c>
      <c r="F88" s="37" t="inlineStr">
        <is>
          <t>A student account set to Grade 8 with Hindi available.</t>
        </is>
      </c>
      <c r="G88" s="37" t="inlineStr">
        <is>
          <t>1) Ask Foxy an in-syllabus Hindi question for Grade 8; confirm a grounded, cited answer from NCERT chunks.</t>
        </is>
      </c>
      <c r="H88" s="37" t="inlineStr">
        <is>
          <t>Answer is correct, on-syllabus, cited; grounded_ai_traces written.</t>
        </is>
      </c>
      <c r="I88" s="37" t="inlineStr">
        <is>
          <t>Evidence for Grade 8 Hindi — Foxy in-syllabus grounding (screenshot and/or SQL)</t>
        </is>
      </c>
      <c r="J88" s="43" t="inlineStr">
        <is>
          <t>NOT RUN</t>
        </is>
      </c>
      <c r="K88" s="37" t="inlineStr">
        <is>
          <t>Claude (pending env)</t>
        </is>
      </c>
      <c r="L88" s="37" t="n"/>
      <c r="M88" s="37" t="n"/>
      <c r="N88" s="37" t="inlineStr">
        <is>
          <t>[T4 | Phase 4 | Claude (pending env)] Playwright/authenticated-API against running env. awaiting running staging URL + test accounts</t>
        </is>
      </c>
    </row>
    <row r="89" ht="53.7" customHeight="1" s="29">
      <c r="A89" s="36" t="inlineStr">
        <is>
          <t>MX-CONTENT-0087</t>
        </is>
      </c>
      <c r="B89" s="54" t="inlineStr">
        <is>
          <t>P1</t>
        </is>
      </c>
      <c r="C89" s="36" t="inlineStr">
        <is>
          <t>Content/RAG</t>
        </is>
      </c>
      <c r="D89" s="36" t="inlineStr">
        <is>
          <t>Grade 8 · Hindi · Foxy out-of-syllabus refusal</t>
        </is>
      </c>
      <c r="E89" s="36" t="inlineStr">
        <is>
          <t>Confirms the 'Foxy out-of-syllabus refusal' dimension for Grade 8 Hindi. Coverage is proven per grade, per subject, per dimension — not claimed in aggregate. A gap on any dimension means that grade/subject is not truly launch-ready and must be fenced.</t>
        </is>
      </c>
      <c r="F89" s="36" t="inlineStr">
        <is>
          <t>A student account set to Grade 8 with Hindi available.</t>
        </is>
      </c>
      <c r="G89" s="36" t="inlineStr">
        <is>
          <t>1) Ask Foxy an out-of-syllabus Hindi question for Grade 8; confirm CURRICULUM_GAP, not a fabricated answer.</t>
        </is>
      </c>
      <c r="H89" s="36" t="inlineStr">
        <is>
          <t>Structured CURRICULUM_GAP returned; content_gaps logged; no hallucination.</t>
        </is>
      </c>
      <c r="I89" s="36" t="inlineStr">
        <is>
          <t>Evidence for Grade 8 Hindi — Foxy out-of-syllabus refusal (screenshot and/or SQL)</t>
        </is>
      </c>
      <c r="J89" s="41" t="inlineStr">
        <is>
          <t>NOT RUN</t>
        </is>
      </c>
      <c r="K89" s="36" t="inlineStr">
        <is>
          <t>Claude (pending env)</t>
        </is>
      </c>
      <c r="L89" s="36" t="n"/>
      <c r="M89" s="36" t="n"/>
      <c r="N89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90" ht="53.7" customHeight="1" s="29">
      <c r="A90" s="37" t="inlineStr">
        <is>
          <t>MX-CONTENT-0088</t>
        </is>
      </c>
      <c r="B90" s="54" t="inlineStr">
        <is>
          <t>P1</t>
        </is>
      </c>
      <c r="C90" s="37" t="inlineStr">
        <is>
          <t>Content/RAG</t>
        </is>
      </c>
      <c r="D90" s="37" t="inlineStr">
        <is>
          <t>Grade 8 · Hindi · Quiz generation (verified-only)</t>
        </is>
      </c>
      <c r="E90" s="37" t="inlineStr">
        <is>
          <t>Confirms the 'Quiz generation (verified-only)' dimension for Grade 8 Hindi. Coverage is proven per grade, per subject, per dimension — not claimed in aggregate. A gap on any dimension means that grade/subject is not truly launch-ready and must be fenced.</t>
        </is>
      </c>
      <c r="F90" s="37" t="inlineStr">
        <is>
          <t>A student account set to Grade 8 with Hindi available.</t>
        </is>
      </c>
      <c r="G90" s="37" t="inlineStr">
        <is>
          <t>1) Generate/take a Hindi quiz for Grade 8; collect served ids and confirm all are verification_state='verified'.</t>
        </is>
      </c>
      <c r="H90" s="37" t="inlineStr">
        <is>
          <t>Quiz generates; 100% of served questions are verified; none unverified.</t>
        </is>
      </c>
      <c r="I90" s="37" t="inlineStr">
        <is>
          <t>Evidence for Grade 8 Hindi — Quiz generation (verified-only) (screenshot and/or SQL)</t>
        </is>
      </c>
      <c r="J90" s="43" t="inlineStr">
        <is>
          <t>NOT RUN</t>
        </is>
      </c>
      <c r="K90" s="37" t="inlineStr">
        <is>
          <t>Claude (pending env)</t>
        </is>
      </c>
      <c r="L90" s="37" t="n"/>
      <c r="M90" s="37" t="n"/>
      <c r="N90" s="37" t="inlineStr">
        <is>
          <t>[T4 | Phase 4 | Claude (pending env)] Playwright/authenticated-API against running env. awaiting running staging URL + test accounts</t>
        </is>
      </c>
    </row>
    <row r="91" ht="43.25" customHeight="1" s="29">
      <c r="A91" s="36" t="inlineStr">
        <is>
          <t>MX-CONTENT-0089</t>
        </is>
      </c>
      <c r="B91" s="55" t="inlineStr">
        <is>
          <t>P2</t>
        </is>
      </c>
      <c r="C91" s="36" t="inlineStr">
        <is>
          <t>Content/RAG</t>
        </is>
      </c>
      <c r="D91" s="36" t="inlineStr">
        <is>
          <t>Grade 8 · Hindi · Readiness honesty</t>
        </is>
      </c>
      <c r="E91" s="36" t="inlineStr">
        <is>
          <t>Confirms the 'Readiness honesty' dimension for Grade 8 Hindi. Coverage is proven per grade, per subject, per dimension — not claimed in aggregate. A gap on any dimension means that grade/subject is not truly launch-ready and must be fenced.</t>
        </is>
      </c>
      <c r="F91" s="36" t="inlineStr">
        <is>
          <t>A student account set to Grade 8 with Hindi available.</t>
        </is>
      </c>
      <c r="G91" s="36" t="inlineStr">
        <is>
          <t>1) For one Grade 8 Hindi chapter, compare cbse_syllabus rag_status/chunk_count/verified count to the actual indexed rows.</t>
        </is>
      </c>
      <c r="H91" s="36" t="inlineStr">
        <is>
          <t>Stored readiness matches reality for the sampled chapter.</t>
        </is>
      </c>
      <c r="I91" s="36" t="inlineStr">
        <is>
          <t>Evidence for Grade 8 Hindi — Readiness honesty (screenshot and/or SQL)</t>
        </is>
      </c>
      <c r="J91" s="41" t="inlineStr">
        <is>
          <t>NOT RUN</t>
        </is>
      </c>
      <c r="K91" s="36" t="inlineStr">
        <is>
          <t>Claude (pending env)</t>
        </is>
      </c>
      <c r="L91" s="36" t="n"/>
      <c r="M91" s="36" t="n"/>
      <c r="N91" s="36" t="inlineStr">
        <is>
          <t>[T3 | Phase 3 | Claude (pending env)] parametrized SQL probe via live/staging Supabase. awaiting live/staging Supabase read access + A/B test accounts</t>
        </is>
      </c>
    </row>
    <row r="92" ht="43.25" customHeight="1" s="29">
      <c r="A92" s="37" t="inlineStr">
        <is>
          <t>MX-CONTENT-0090</t>
        </is>
      </c>
      <c r="B92" s="55" t="inlineStr">
        <is>
          <t>P2</t>
        </is>
      </c>
      <c r="C92" s="37" t="inlineStr">
        <is>
          <t>Content/RAG</t>
        </is>
      </c>
      <c r="D92" s="37" t="inlineStr">
        <is>
          <t>Grade 8 · Hindi · Hindi availability</t>
        </is>
      </c>
      <c r="E92" s="37" t="inlineStr">
        <is>
          <t>Confirms the 'Hindi availability' dimension for Grade 8 Hindi. Coverage is proven per grade, per subject, per dimension — not claimed in aggregate. A gap on any dimension means that grade/subject is not truly launch-ready and must be fenced.</t>
        </is>
      </c>
      <c r="F92" s="37" t="inlineStr">
        <is>
          <t>A student account set to Grade 8 with Hindi available.</t>
        </is>
      </c>
      <c r="G92" s="37" t="inlineStr">
        <is>
          <t>1) For Grade 8 Hindi, confirm Hindi content retrieves under language='hi' where indexed, or returns LANGUAGE_GAP.</t>
        </is>
      </c>
      <c r="H92" s="37" t="inlineStr">
        <is>
          <t>Hindi served where indexed; explicit LANGUAGE_GAP otherwise; never silent English.</t>
        </is>
      </c>
      <c r="I92" s="37" t="inlineStr">
        <is>
          <t>Evidence for Grade 8 Hindi — Hindi availability (screenshot and/or SQL)</t>
        </is>
      </c>
      <c r="J92" s="43" t="inlineStr">
        <is>
          <t>NOT RUN</t>
        </is>
      </c>
      <c r="K92" s="37" t="inlineStr">
        <is>
          <t>Claude (pending env)</t>
        </is>
      </c>
      <c r="L92" s="37" t="n"/>
      <c r="M92" s="37" t="n"/>
      <c r="N92" s="37" t="inlineStr">
        <is>
          <t>[T3 | Phase 3 | Claude (pending env)] parametrized SQL probe via live/staging Supabase. awaiting live/staging Supabase read access + A/B test accounts</t>
        </is>
      </c>
    </row>
    <row r="93" ht="43.25" customHeight="1" s="29">
      <c r="A93" s="36" t="inlineStr">
        <is>
          <t>MX-CONTENT-0091</t>
        </is>
      </c>
      <c r="B93" s="54" t="inlineStr">
        <is>
          <t>P1</t>
        </is>
      </c>
      <c r="C93" s="36" t="inlineStr">
        <is>
          <t>Content/RAG</t>
        </is>
      </c>
      <c r="D93" s="36" t="inlineStr">
        <is>
          <t>Grade 9 · Maths · Syllabus tree loads</t>
        </is>
      </c>
      <c r="E93" s="36" t="inlineStr">
        <is>
          <t>Confirms the 'Syllabus tree loads' dimension for Grade 9 Maths. Coverage is proven per grade, per subject, per dimension — not claimed in aggregate. A gap on any dimension means that grade/subject is not truly launch-ready and must be fenced.</t>
        </is>
      </c>
      <c r="F93" s="36" t="inlineStr">
        <is>
          <t>A student account set to Grade 9 with Maths available.</t>
        </is>
      </c>
      <c r="G93" s="36" t="inlineStr">
        <is>
          <t>1) Open the Maths syllabus for Grade 9; confirm every chapter loads and the list matches cbse_syllabus exactly.</t>
        </is>
      </c>
      <c r="H93" s="36" t="inlineStr">
        <is>
          <t>Chapter list loads and matches the canonical taxonomy; no missing/extra/duplicate chapters.</t>
        </is>
      </c>
      <c r="I93" s="36" t="inlineStr">
        <is>
          <t>Evidence for Grade 9 Maths — Syllabus tree loads (screenshot and/or SQL)</t>
        </is>
      </c>
      <c r="J93" s="41" t="inlineStr">
        <is>
          <t>NOT RUN</t>
        </is>
      </c>
      <c r="K93" s="36" t="inlineStr">
        <is>
          <t>Claude (pending env)</t>
        </is>
      </c>
      <c r="L93" s="36" t="n"/>
      <c r="M93" s="36" t="n"/>
      <c r="N93" s="36" t="inlineStr">
        <is>
          <t>[T4 | Phase 4 | Claude (pending env)] Playwright/authenticated-API against running env. awaiting running staging URL + test accounts</t>
        </is>
      </c>
    </row>
    <row r="94" ht="53.7" customHeight="1" s="29">
      <c r="A94" s="37" t="inlineStr">
        <is>
          <t>MX-CONTENT-0092</t>
        </is>
      </c>
      <c r="B94" s="54" t="inlineStr">
        <is>
          <t>P1</t>
        </is>
      </c>
      <c r="C94" s="37" t="inlineStr">
        <is>
          <t>Content/RAG</t>
        </is>
      </c>
      <c r="D94" s="37" t="inlineStr">
        <is>
          <t>Grade 9 · Maths · Foxy in-syllabus grounding</t>
        </is>
      </c>
      <c r="E94" s="37" t="inlineStr">
        <is>
          <t>Confirms the 'Foxy in-syllabus grounding' dimension for Grade 9 Maths. Coverage is proven per grade, per subject, per dimension — not claimed in aggregate. A gap on any dimension means that grade/subject is not truly launch-ready and must be fenced.</t>
        </is>
      </c>
      <c r="F94" s="37" t="inlineStr">
        <is>
          <t>A student account set to Grade 9 with Maths available.</t>
        </is>
      </c>
      <c r="G94" s="37" t="inlineStr">
        <is>
          <t>1) Ask Foxy an in-syllabus Maths question for Grade 9; confirm a grounded, cited answer from NCERT chunks.</t>
        </is>
      </c>
      <c r="H94" s="37" t="inlineStr">
        <is>
          <t>Answer is correct, on-syllabus, cited; grounded_ai_traces written.</t>
        </is>
      </c>
      <c r="I94" s="37" t="inlineStr">
        <is>
          <t>Evidence for Grade 9 Maths — Foxy in-syllabus grounding (screenshot and/or SQL)</t>
        </is>
      </c>
      <c r="J94" s="43" t="inlineStr">
        <is>
          <t>NOT RUN</t>
        </is>
      </c>
      <c r="K94" s="37" t="inlineStr">
        <is>
          <t>Claude (pending env)</t>
        </is>
      </c>
      <c r="L94" s="37" t="n"/>
      <c r="M94" s="37" t="n"/>
      <c r="N94" s="37" t="inlineStr">
        <is>
          <t>[T4 | Phase 4 | Claude (pending env)] Playwright/authenticated-API against running env. awaiting running staging URL + test accounts</t>
        </is>
      </c>
    </row>
    <row r="95" ht="53.7" customHeight="1" s="29">
      <c r="A95" s="36" t="inlineStr">
        <is>
          <t>MX-CONTENT-0093</t>
        </is>
      </c>
      <c r="B95" s="54" t="inlineStr">
        <is>
          <t>P1</t>
        </is>
      </c>
      <c r="C95" s="36" t="inlineStr">
        <is>
          <t>Content/RAG</t>
        </is>
      </c>
      <c r="D95" s="36" t="inlineStr">
        <is>
          <t>Grade 9 · Maths · Foxy out-of-syllabus refusal</t>
        </is>
      </c>
      <c r="E95" s="36" t="inlineStr">
        <is>
          <t>Confirms the 'Foxy out-of-syllabus refusal' dimension for Grade 9 Maths. Coverage is proven per grade, per subject, per dimension — not claimed in aggregate. A gap on any dimension means that grade/subject is not truly launch-ready and must be fenced.</t>
        </is>
      </c>
      <c r="F95" s="36" t="inlineStr">
        <is>
          <t>A student account set to Grade 9 with Maths available.</t>
        </is>
      </c>
      <c r="G95" s="36" t="inlineStr">
        <is>
          <t>1) Ask Foxy an out-of-syllabus Maths question for Grade 9; confirm CURRICULUM_GAP, not a fabricated answer.</t>
        </is>
      </c>
      <c r="H95" s="36" t="inlineStr">
        <is>
          <t>Structured CURRICULUM_GAP returned; content_gaps logged; no hallucination.</t>
        </is>
      </c>
      <c r="I95" s="36" t="inlineStr">
        <is>
          <t>Evidence for Grade 9 Maths — Foxy out-of-syllabus refusal (screenshot and/or SQL)</t>
        </is>
      </c>
      <c r="J95" s="41" t="inlineStr">
        <is>
          <t>NOT RUN</t>
        </is>
      </c>
      <c r="K95" s="36" t="inlineStr">
        <is>
          <t>Claude (pending env)</t>
        </is>
      </c>
      <c r="L95" s="36" t="n"/>
      <c r="M95" s="36" t="n"/>
      <c r="N95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96" ht="53.7" customHeight="1" s="29">
      <c r="A96" s="37" t="inlineStr">
        <is>
          <t>MX-CONTENT-0094</t>
        </is>
      </c>
      <c r="B96" s="54" t="inlineStr">
        <is>
          <t>P1</t>
        </is>
      </c>
      <c r="C96" s="37" t="inlineStr">
        <is>
          <t>Content/RAG</t>
        </is>
      </c>
      <c r="D96" s="37" t="inlineStr">
        <is>
          <t>Grade 9 · Maths · Quiz generation (verified-only)</t>
        </is>
      </c>
      <c r="E96" s="37" t="inlineStr">
        <is>
          <t>Confirms the 'Quiz generation (verified-only)' dimension for Grade 9 Maths. Coverage is proven per grade, per subject, per dimension — not claimed in aggregate. A gap on any dimension means that grade/subject is not truly launch-ready and must be fenced.</t>
        </is>
      </c>
      <c r="F96" s="37" t="inlineStr">
        <is>
          <t>A student account set to Grade 9 with Maths available.</t>
        </is>
      </c>
      <c r="G96" s="37" t="inlineStr">
        <is>
          <t>1) Generate/take a Maths quiz for Grade 9; collect served ids and confirm all are verification_state='verified'.</t>
        </is>
      </c>
      <c r="H96" s="37" t="inlineStr">
        <is>
          <t>Quiz generates; 100% of served questions are verified; none unverified.</t>
        </is>
      </c>
      <c r="I96" s="37" t="inlineStr">
        <is>
          <t>Evidence for Grade 9 Maths — Quiz generation (verified-only) (screenshot and/or SQL)</t>
        </is>
      </c>
      <c r="J96" s="43" t="inlineStr">
        <is>
          <t>NOT RUN</t>
        </is>
      </c>
      <c r="K96" s="37" t="inlineStr">
        <is>
          <t>Claude (pending env)</t>
        </is>
      </c>
      <c r="L96" s="37" t="n"/>
      <c r="M96" s="37" t="n"/>
      <c r="N96" s="37" t="inlineStr">
        <is>
          <t>[T4 | Phase 4 | Claude (pending env)] Playwright/authenticated-API against running env. awaiting running staging URL + test accounts</t>
        </is>
      </c>
    </row>
    <row r="97" ht="43.25" customHeight="1" s="29">
      <c r="A97" s="36" t="inlineStr">
        <is>
          <t>MX-CONTENT-0095</t>
        </is>
      </c>
      <c r="B97" s="55" t="inlineStr">
        <is>
          <t>P2</t>
        </is>
      </c>
      <c r="C97" s="36" t="inlineStr">
        <is>
          <t>Content/RAG</t>
        </is>
      </c>
      <c r="D97" s="36" t="inlineStr">
        <is>
          <t>Grade 9 · Maths · Readiness honesty</t>
        </is>
      </c>
      <c r="E97" s="36" t="inlineStr">
        <is>
          <t>Confirms the 'Readiness honesty' dimension for Grade 9 Maths. Coverage is proven per grade, per subject, per dimension — not claimed in aggregate. A gap on any dimension means that grade/subject is not truly launch-ready and must be fenced.</t>
        </is>
      </c>
      <c r="F97" s="36" t="inlineStr">
        <is>
          <t>A student account set to Grade 9 with Maths available.</t>
        </is>
      </c>
      <c r="G97" s="36" t="inlineStr">
        <is>
          <t>1) For one Grade 9 Maths chapter, compare cbse_syllabus rag_status/chunk_count/verified count to the actual indexed rows.</t>
        </is>
      </c>
      <c r="H97" s="36" t="inlineStr">
        <is>
          <t>Stored readiness matches reality for the sampled chapter.</t>
        </is>
      </c>
      <c r="I97" s="36" t="inlineStr">
        <is>
          <t>Evidence for Grade 9 Maths — Readiness honesty (screenshot and/or SQL)</t>
        </is>
      </c>
      <c r="J97" s="41" t="inlineStr">
        <is>
          <t>NOT RUN</t>
        </is>
      </c>
      <c r="K97" s="36" t="inlineStr">
        <is>
          <t>Claude (pending env)</t>
        </is>
      </c>
      <c r="L97" s="36" t="n"/>
      <c r="M97" s="36" t="n"/>
      <c r="N97" s="36" t="inlineStr">
        <is>
          <t>[T3 | Phase 3 | Claude (pending env)] parametrized SQL probe via live/staging Supabase. awaiting live/staging Supabase read access + A/B test accounts</t>
        </is>
      </c>
    </row>
    <row r="98" ht="43.25" customHeight="1" s="29">
      <c r="A98" s="37" t="inlineStr">
        <is>
          <t>MX-CONTENT-0096</t>
        </is>
      </c>
      <c r="B98" s="55" t="inlineStr">
        <is>
          <t>P2</t>
        </is>
      </c>
      <c r="C98" s="37" t="inlineStr">
        <is>
          <t>Content/RAG</t>
        </is>
      </c>
      <c r="D98" s="37" t="inlineStr">
        <is>
          <t>Grade 9 · Maths · Hindi availability</t>
        </is>
      </c>
      <c r="E98" s="37" t="inlineStr">
        <is>
          <t>Confirms the 'Hindi availability' dimension for Grade 9 Maths. Coverage is proven per grade, per subject, per dimension — not claimed in aggregate. A gap on any dimension means that grade/subject is not truly launch-ready and must be fenced.</t>
        </is>
      </c>
      <c r="F98" s="37" t="inlineStr">
        <is>
          <t>A student account set to Grade 9 with Maths available.</t>
        </is>
      </c>
      <c r="G98" s="37" t="inlineStr">
        <is>
          <t>1) For Grade 9 Maths, confirm Hindi content retrieves under language='hi' where indexed, or returns LANGUAGE_GAP.</t>
        </is>
      </c>
      <c r="H98" s="37" t="inlineStr">
        <is>
          <t>Hindi served where indexed; explicit LANGUAGE_GAP otherwise; never silent English.</t>
        </is>
      </c>
      <c r="I98" s="37" t="inlineStr">
        <is>
          <t>Evidence for Grade 9 Maths — Hindi availability (screenshot and/or SQL)</t>
        </is>
      </c>
      <c r="J98" s="43" t="inlineStr">
        <is>
          <t>NOT RUN</t>
        </is>
      </c>
      <c r="K98" s="37" t="inlineStr">
        <is>
          <t>Claude (pending env)</t>
        </is>
      </c>
      <c r="L98" s="37" t="n"/>
      <c r="M98" s="37" t="n"/>
      <c r="N98" s="37" t="inlineStr">
        <is>
          <t>[T3 | Phase 3 | Claude (pending env)] parametrized SQL probe via live/staging Supabase. awaiting live/staging Supabase read access + A/B test accounts</t>
        </is>
      </c>
    </row>
    <row r="99" ht="53.7" customHeight="1" s="29">
      <c r="A99" s="36" t="inlineStr">
        <is>
          <t>MX-CONTENT-0097</t>
        </is>
      </c>
      <c r="B99" s="54" t="inlineStr">
        <is>
          <t>P1</t>
        </is>
      </c>
      <c r="C99" s="36" t="inlineStr">
        <is>
          <t>Content/RAG</t>
        </is>
      </c>
      <c r="D99" s="36" t="inlineStr">
        <is>
          <t>Grade 9 · Science · Syllabus tree loads</t>
        </is>
      </c>
      <c r="E99" s="36" t="inlineStr">
        <is>
          <t>Confirms the 'Syllabus tree loads' dimension for Grade 9 Science. Coverage is proven per grade, per subject, per dimension — not claimed in aggregate. A gap on any dimension means that grade/subject is not truly launch-ready and must be fenced.</t>
        </is>
      </c>
      <c r="F99" s="36" t="inlineStr">
        <is>
          <t>A student account set to Grade 9 with Science available.</t>
        </is>
      </c>
      <c r="G99" s="36" t="inlineStr">
        <is>
          <t>1) Open the Science syllabus for Grade 9; confirm every chapter loads and the list matches cbse_syllabus exactly.</t>
        </is>
      </c>
      <c r="H99" s="36" t="inlineStr">
        <is>
          <t>Chapter list loads and matches the canonical taxonomy; no missing/extra/duplicate chapters.</t>
        </is>
      </c>
      <c r="I99" s="36" t="inlineStr">
        <is>
          <t>Evidence for Grade 9 Science — Syllabus tree loads (screenshot and/or SQL)</t>
        </is>
      </c>
      <c r="J99" s="41" t="inlineStr">
        <is>
          <t>NOT RUN</t>
        </is>
      </c>
      <c r="K99" s="36" t="inlineStr">
        <is>
          <t>Claude (pending env)</t>
        </is>
      </c>
      <c r="L99" s="36" t="n"/>
      <c r="M99" s="36" t="n"/>
      <c r="N99" s="36" t="inlineStr">
        <is>
          <t>[T4 | Phase 4 | Claude (pending env)] Playwright/authenticated-API against running env. awaiting running staging URL + test accounts</t>
        </is>
      </c>
    </row>
    <row r="100" ht="53.7" customHeight="1" s="29">
      <c r="A100" s="37" t="inlineStr">
        <is>
          <t>MX-CONTENT-0098</t>
        </is>
      </c>
      <c r="B100" s="54" t="inlineStr">
        <is>
          <t>P1</t>
        </is>
      </c>
      <c r="C100" s="37" t="inlineStr">
        <is>
          <t>Content/RAG</t>
        </is>
      </c>
      <c r="D100" s="37" t="inlineStr">
        <is>
          <t>Grade 9 · Science · Foxy in-syllabus grounding</t>
        </is>
      </c>
      <c r="E100" s="37" t="inlineStr">
        <is>
          <t>Confirms the 'Foxy in-syllabus grounding' dimension for Grade 9 Science. Coverage is proven per grade, per subject, per dimension — not claimed in aggregate. A gap on any dimension means that grade/subject is not truly launch-ready and must be fenced.</t>
        </is>
      </c>
      <c r="F100" s="37" t="inlineStr">
        <is>
          <t>A student account set to Grade 9 with Science available.</t>
        </is>
      </c>
      <c r="G100" s="37" t="inlineStr">
        <is>
          <t>1) Ask Foxy an in-syllabus Science question for Grade 9; confirm a grounded, cited answer from NCERT chunks.</t>
        </is>
      </c>
      <c r="H100" s="37" t="inlineStr">
        <is>
          <t>Answer is correct, on-syllabus, cited; grounded_ai_traces written.</t>
        </is>
      </c>
      <c r="I100" s="37" t="inlineStr">
        <is>
          <t>Evidence for Grade 9 Science — Foxy in-syllabus grounding (screenshot and/or SQL)</t>
        </is>
      </c>
      <c r="J100" s="43" t="inlineStr">
        <is>
          <t>NOT RUN</t>
        </is>
      </c>
      <c r="K100" s="37" t="inlineStr">
        <is>
          <t>Claude (pending env)</t>
        </is>
      </c>
      <c r="L100" s="37" t="n"/>
      <c r="M100" s="37" t="n"/>
      <c r="N100" s="37" t="inlineStr">
        <is>
          <t>[T4 | Phase 4 | Claude (pending env)] Playwright/authenticated-API against running env. awaiting running staging URL + test accounts</t>
        </is>
      </c>
    </row>
    <row r="101" ht="53.7" customHeight="1" s="29">
      <c r="A101" s="36" t="inlineStr">
        <is>
          <t>MX-CONTENT-0099</t>
        </is>
      </c>
      <c r="B101" s="54" t="inlineStr">
        <is>
          <t>P1</t>
        </is>
      </c>
      <c r="C101" s="36" t="inlineStr">
        <is>
          <t>Content/RAG</t>
        </is>
      </c>
      <c r="D101" s="36" t="inlineStr">
        <is>
          <t>Grade 9 · Science · Foxy out-of-syllabus refusal</t>
        </is>
      </c>
      <c r="E101" s="36" t="inlineStr">
        <is>
          <t>Confirms the 'Foxy out-of-syllabus refusal' dimension for Grade 9 Science. Coverage is proven per grade, per subject, per dimension — not claimed in aggregate. A gap on any dimension means that grade/subject is not truly launch-ready and must be fenced.</t>
        </is>
      </c>
      <c r="F101" s="36" t="inlineStr">
        <is>
          <t>A student account set to Grade 9 with Science available.</t>
        </is>
      </c>
      <c r="G101" s="36" t="inlineStr">
        <is>
          <t>1) Ask Foxy an out-of-syllabus Science question for Grade 9; confirm CURRICULUM_GAP, not a fabricated answer.</t>
        </is>
      </c>
      <c r="H101" s="36" t="inlineStr">
        <is>
          <t>Structured CURRICULUM_GAP returned; content_gaps logged; no hallucination.</t>
        </is>
      </c>
      <c r="I101" s="36" t="inlineStr">
        <is>
          <t>Evidence for Grade 9 Science — Foxy out-of-syllabus refusal (screenshot and/or SQL)</t>
        </is>
      </c>
      <c r="J101" s="41" t="inlineStr">
        <is>
          <t>NOT RUN</t>
        </is>
      </c>
      <c r="K101" s="36" t="inlineStr">
        <is>
          <t>Claude (pending env)</t>
        </is>
      </c>
      <c r="L101" s="36" t="n"/>
      <c r="M101" s="36" t="n"/>
      <c r="N101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02" ht="53.7" customHeight="1" s="29">
      <c r="A102" s="37" t="inlineStr">
        <is>
          <t>MX-CONTENT-0100</t>
        </is>
      </c>
      <c r="B102" s="54" t="inlineStr">
        <is>
          <t>P1</t>
        </is>
      </c>
      <c r="C102" s="37" t="inlineStr">
        <is>
          <t>Content/RAG</t>
        </is>
      </c>
      <c r="D102" s="37" t="inlineStr">
        <is>
          <t>Grade 9 · Science · Quiz generation (verified-only)</t>
        </is>
      </c>
      <c r="E102" s="37" t="inlineStr">
        <is>
          <t>Confirms the 'Quiz generation (verified-only)' dimension for Grade 9 Science. Coverage is proven per grade, per subject, per dimension — not claimed in aggregate. A gap on any dimension means that grade/subject is not truly launch-ready and must be fenced.</t>
        </is>
      </c>
      <c r="F102" s="37" t="inlineStr">
        <is>
          <t>A student account set to Grade 9 with Science available.</t>
        </is>
      </c>
      <c r="G102" s="37" t="inlineStr">
        <is>
          <t>1) Generate/take a Science quiz for Grade 9; collect served ids and confirm all are verification_state='verified'.</t>
        </is>
      </c>
      <c r="H102" s="37" t="inlineStr">
        <is>
          <t>Quiz generates; 100% of served questions are verified; none unverified.</t>
        </is>
      </c>
      <c r="I102" s="37" t="inlineStr">
        <is>
          <t>Evidence for Grade 9 Science — Quiz generation (verified-only) (screenshot and/or SQL)</t>
        </is>
      </c>
      <c r="J102" s="43" t="inlineStr">
        <is>
          <t>NOT RUN</t>
        </is>
      </c>
      <c r="K102" s="37" t="inlineStr">
        <is>
          <t>Claude (pending env)</t>
        </is>
      </c>
      <c r="L102" s="37" t="n"/>
      <c r="M102" s="37" t="n"/>
      <c r="N102" s="37" t="inlineStr">
        <is>
          <t>[T4 | Phase 4 | Claude (pending env)] Playwright/authenticated-API against running env. awaiting running staging URL + test accounts</t>
        </is>
      </c>
    </row>
    <row r="103" ht="53.7" customHeight="1" s="29">
      <c r="A103" s="36" t="inlineStr">
        <is>
          <t>MX-CONTENT-0101</t>
        </is>
      </c>
      <c r="B103" s="55" t="inlineStr">
        <is>
          <t>P2</t>
        </is>
      </c>
      <c r="C103" s="36" t="inlineStr">
        <is>
          <t>Content/RAG</t>
        </is>
      </c>
      <c r="D103" s="36" t="inlineStr">
        <is>
          <t>Grade 9 · Science · Readiness honesty</t>
        </is>
      </c>
      <c r="E103" s="36" t="inlineStr">
        <is>
          <t>Confirms the 'Readiness honesty' dimension for Grade 9 Science. Coverage is proven per grade, per subject, per dimension — not claimed in aggregate. A gap on any dimension means that grade/subject is not truly launch-ready and must be fenced.</t>
        </is>
      </c>
      <c r="F103" s="36" t="inlineStr">
        <is>
          <t>A student account set to Grade 9 with Science available.</t>
        </is>
      </c>
      <c r="G103" s="36" t="inlineStr">
        <is>
          <t>1) For one Grade 9 Science chapter, compare cbse_syllabus rag_status/chunk_count/verified count to the actual indexed rows.</t>
        </is>
      </c>
      <c r="H103" s="36" t="inlineStr">
        <is>
          <t>Stored readiness matches reality for the sampled chapter.</t>
        </is>
      </c>
      <c r="I103" s="36" t="inlineStr">
        <is>
          <t>Evidence for Grade 9 Science — Readiness honesty (screenshot and/or SQL)</t>
        </is>
      </c>
      <c r="J103" s="41" t="inlineStr">
        <is>
          <t>NOT RUN</t>
        </is>
      </c>
      <c r="K103" s="36" t="inlineStr">
        <is>
          <t>Claude (pending env)</t>
        </is>
      </c>
      <c r="L103" s="36" t="n"/>
      <c r="M103" s="36" t="n"/>
      <c r="N103" s="36" t="inlineStr">
        <is>
          <t>[T3 | Phase 3 | Claude (pending env)] parametrized SQL probe via live/staging Supabase. awaiting live/staging Supabase read access + A/B test accounts</t>
        </is>
      </c>
    </row>
    <row r="104" ht="43.25" customHeight="1" s="29">
      <c r="A104" s="37" t="inlineStr">
        <is>
          <t>MX-CONTENT-0102</t>
        </is>
      </c>
      <c r="B104" s="55" t="inlineStr">
        <is>
          <t>P2</t>
        </is>
      </c>
      <c r="C104" s="37" t="inlineStr">
        <is>
          <t>Content/RAG</t>
        </is>
      </c>
      <c r="D104" s="37" t="inlineStr">
        <is>
          <t>Grade 9 · Science · Hindi availability</t>
        </is>
      </c>
      <c r="E104" s="37" t="inlineStr">
        <is>
          <t>Confirms the 'Hindi availability' dimension for Grade 9 Science. Coverage is proven per grade, per subject, per dimension — not claimed in aggregate. A gap on any dimension means that grade/subject is not truly launch-ready and must be fenced.</t>
        </is>
      </c>
      <c r="F104" s="37" t="inlineStr">
        <is>
          <t>A student account set to Grade 9 with Science available.</t>
        </is>
      </c>
      <c r="G104" s="37" t="inlineStr">
        <is>
          <t>1) For Grade 9 Science, confirm Hindi content retrieves under language='hi' where indexed, or returns LANGUAGE_GAP.</t>
        </is>
      </c>
      <c r="H104" s="37" t="inlineStr">
        <is>
          <t>Hindi served where indexed; explicit LANGUAGE_GAP otherwise; never silent English.</t>
        </is>
      </c>
      <c r="I104" s="37" t="inlineStr">
        <is>
          <t>Evidence for Grade 9 Science — Hindi availability (screenshot and/or SQL)</t>
        </is>
      </c>
      <c r="J104" s="43" t="inlineStr">
        <is>
          <t>NOT RUN</t>
        </is>
      </c>
      <c r="K104" s="37" t="inlineStr">
        <is>
          <t>Claude (pending env)</t>
        </is>
      </c>
      <c r="L104" s="37" t="n"/>
      <c r="M104" s="37" t="n"/>
      <c r="N104" s="37" t="inlineStr">
        <is>
          <t>[T3 | Phase 3 | Claude (pending env)] parametrized SQL probe via live/staging Supabase. awaiting live/staging Supabase read access + A/B test accounts</t>
        </is>
      </c>
    </row>
    <row r="105" ht="53.7" customHeight="1" s="29">
      <c r="A105" s="36" t="inlineStr">
        <is>
          <t>MX-CONTENT-0103</t>
        </is>
      </c>
      <c r="B105" s="54" t="inlineStr">
        <is>
          <t>P1</t>
        </is>
      </c>
      <c r="C105" s="36" t="inlineStr">
        <is>
          <t>Content/RAG</t>
        </is>
      </c>
      <c r="D105" s="36" t="inlineStr">
        <is>
          <t>Grade 9 · Social Science · Syllabus tree loads</t>
        </is>
      </c>
      <c r="E105" s="36" t="inlineStr">
        <is>
          <t>Confirms the 'Syllabus tree loads' dimension for Grade 9 Social Science. Coverage is proven per grade, per subject, per dimension — not claimed in aggregate. A gap on any dimension means that grade/subject is not truly launch-ready and must be fenced.</t>
        </is>
      </c>
      <c r="F105" s="36" t="inlineStr">
        <is>
          <t>A student account set to Grade 9 with Social Science available.</t>
        </is>
      </c>
      <c r="G105" s="36" t="inlineStr">
        <is>
          <t>1) Open the Social Science syllabus for Grade 9; confirm every chapter loads and the list matches cbse_syllabus exactly.</t>
        </is>
      </c>
      <c r="H105" s="36" t="inlineStr">
        <is>
          <t>Chapter list loads and matches the canonical taxonomy; no missing/extra/duplicate chapters.</t>
        </is>
      </c>
      <c r="I105" s="36" t="inlineStr">
        <is>
          <t>Evidence for Grade 9 Social Science — Syllabus tree loads (screenshot and/or SQL)</t>
        </is>
      </c>
      <c r="J105" s="41" t="inlineStr">
        <is>
          <t>NOT RUN</t>
        </is>
      </c>
      <c r="K105" s="36" t="inlineStr">
        <is>
          <t>Claude (pending env)</t>
        </is>
      </c>
      <c r="L105" s="36" t="n"/>
      <c r="M105" s="36" t="n"/>
      <c r="N105" s="36" t="inlineStr">
        <is>
          <t>[T4 | Phase 4 | Claude (pending env)] Playwright/authenticated-API against running env. awaiting running staging URL + test accounts</t>
        </is>
      </c>
    </row>
    <row r="106" ht="53.7" customHeight="1" s="29">
      <c r="A106" s="37" t="inlineStr">
        <is>
          <t>MX-CONTENT-0104</t>
        </is>
      </c>
      <c r="B106" s="54" t="inlineStr">
        <is>
          <t>P1</t>
        </is>
      </c>
      <c r="C106" s="37" t="inlineStr">
        <is>
          <t>Content/RAG</t>
        </is>
      </c>
      <c r="D106" s="37" t="inlineStr">
        <is>
          <t>Grade 9 · Social Science · Foxy in-syllabus grounding</t>
        </is>
      </c>
      <c r="E106" s="37" t="inlineStr">
        <is>
          <t>Confirms the 'Foxy in-syllabus grounding' dimension for Grade 9 Social Science. Coverage is proven per grade, per subject, per dimension — not claimed in aggregate. A gap on any dimension means that grade/subject is not truly launch-ready and must be fenced.</t>
        </is>
      </c>
      <c r="F106" s="37" t="inlineStr">
        <is>
          <t>A student account set to Grade 9 with Social Science available.</t>
        </is>
      </c>
      <c r="G106" s="37" t="inlineStr">
        <is>
          <t>1) Ask Foxy an in-syllabus Social Science question for Grade 9; confirm a grounded, cited answer from NCERT chunks.</t>
        </is>
      </c>
      <c r="H106" s="37" t="inlineStr">
        <is>
          <t>Answer is correct, on-syllabus, cited; grounded_ai_traces written.</t>
        </is>
      </c>
      <c r="I106" s="37" t="inlineStr">
        <is>
          <t>Evidence for Grade 9 Social Science — Foxy in-syllabus grounding (screenshot and/or SQL)</t>
        </is>
      </c>
      <c r="J106" s="43" t="inlineStr">
        <is>
          <t>NOT RUN</t>
        </is>
      </c>
      <c r="K106" s="37" t="inlineStr">
        <is>
          <t>Claude (pending env)</t>
        </is>
      </c>
      <c r="L106" s="37" t="n"/>
      <c r="M106" s="37" t="n"/>
      <c r="N106" s="37" t="inlineStr">
        <is>
          <t>[T4 | Phase 4 | Claude (pending env)] Playwright/authenticated-API against running env. awaiting running staging URL + test accounts</t>
        </is>
      </c>
    </row>
    <row r="107" ht="53.7" customHeight="1" s="29">
      <c r="A107" s="36" t="inlineStr">
        <is>
          <t>MX-CONTENT-0105</t>
        </is>
      </c>
      <c r="B107" s="54" t="inlineStr">
        <is>
          <t>P1</t>
        </is>
      </c>
      <c r="C107" s="36" t="inlineStr">
        <is>
          <t>Content/RAG</t>
        </is>
      </c>
      <c r="D107" s="36" t="inlineStr">
        <is>
          <t>Grade 9 · Social Science · Foxy out-of-syllabus refusal</t>
        </is>
      </c>
      <c r="E107" s="36" t="inlineStr">
        <is>
          <t>Confirms the 'Foxy out-of-syllabus refusal' dimension for Grade 9 Social Science. Coverage is proven per grade, per subject, per dimension — not claimed in aggregate. A gap on any dimension means that grade/subject is not truly launch-ready and must be fenced.</t>
        </is>
      </c>
      <c r="F107" s="36" t="inlineStr">
        <is>
          <t>A student account set to Grade 9 with Social Science available.</t>
        </is>
      </c>
      <c r="G107" s="36" t="inlineStr">
        <is>
          <t>1) Ask Foxy an out-of-syllabus Social Science question for Grade 9; confirm CURRICULUM_GAP, not a fabricated answer.</t>
        </is>
      </c>
      <c r="H107" s="36" t="inlineStr">
        <is>
          <t>Structured CURRICULUM_GAP returned; content_gaps logged; no hallucination.</t>
        </is>
      </c>
      <c r="I107" s="36" t="inlineStr">
        <is>
          <t>Evidence for Grade 9 Social Science — Foxy out-of-syllabus refusal (screenshot and/or SQL)</t>
        </is>
      </c>
      <c r="J107" s="41" t="inlineStr">
        <is>
          <t>NOT RUN</t>
        </is>
      </c>
      <c r="K107" s="36" t="inlineStr">
        <is>
          <t>Claude (pending env)</t>
        </is>
      </c>
      <c r="L107" s="36" t="n"/>
      <c r="M107" s="36" t="n"/>
      <c r="N107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08" ht="53.7" customHeight="1" s="29">
      <c r="A108" s="37" t="inlineStr">
        <is>
          <t>MX-CONTENT-0106</t>
        </is>
      </c>
      <c r="B108" s="54" t="inlineStr">
        <is>
          <t>P1</t>
        </is>
      </c>
      <c r="C108" s="37" t="inlineStr">
        <is>
          <t>Content/RAG</t>
        </is>
      </c>
      <c r="D108" s="37" t="inlineStr">
        <is>
          <t>Grade 9 · Social Science · Quiz generation (verified-only)</t>
        </is>
      </c>
      <c r="E108" s="37" t="inlineStr">
        <is>
          <t>Confirms the 'Quiz generation (verified-only)' dimension for Grade 9 Social Science. Coverage is proven per grade, per subject, per dimension — not claimed in aggregate. A gap on any dimension means that grade/subject is not truly launch-ready and must be fenced.</t>
        </is>
      </c>
      <c r="F108" s="37" t="inlineStr">
        <is>
          <t>A student account set to Grade 9 with Social Science available.</t>
        </is>
      </c>
      <c r="G108" s="37" t="inlineStr">
        <is>
          <t>1) Generate/take a Social Science quiz for Grade 9; collect served ids and confirm all are verification_state='verified'.</t>
        </is>
      </c>
      <c r="H108" s="37" t="inlineStr">
        <is>
          <t>Quiz generates; 100% of served questions are verified; none unverified.</t>
        </is>
      </c>
      <c r="I108" s="37" t="inlineStr">
        <is>
          <t>Evidence for Grade 9 Social Science — Quiz generation (verified-only) (screenshot and/or SQL)</t>
        </is>
      </c>
      <c r="J108" s="43" t="inlineStr">
        <is>
          <t>NOT RUN</t>
        </is>
      </c>
      <c r="K108" s="37" t="inlineStr">
        <is>
          <t>Claude (pending env)</t>
        </is>
      </c>
      <c r="L108" s="37" t="n"/>
      <c r="M108" s="37" t="n"/>
      <c r="N108" s="37" t="inlineStr">
        <is>
          <t>[T4 | Phase 4 | Claude (pending env)] Playwright/authenticated-API against running env. awaiting running staging URL + test accounts</t>
        </is>
      </c>
    </row>
    <row r="109" ht="53.7" customHeight="1" s="29">
      <c r="A109" s="36" t="inlineStr">
        <is>
          <t>MX-CONTENT-0107</t>
        </is>
      </c>
      <c r="B109" s="55" t="inlineStr">
        <is>
          <t>P2</t>
        </is>
      </c>
      <c r="C109" s="36" t="inlineStr">
        <is>
          <t>Content/RAG</t>
        </is>
      </c>
      <c r="D109" s="36" t="inlineStr">
        <is>
          <t>Grade 9 · Social Science · Readiness honesty</t>
        </is>
      </c>
      <c r="E109" s="36" t="inlineStr">
        <is>
          <t>Confirms the 'Readiness honesty' dimension for Grade 9 Social Science. Coverage is proven per grade, per subject, per dimension — not claimed in aggregate. A gap on any dimension means that grade/subject is not truly launch-ready and must be fenced.</t>
        </is>
      </c>
      <c r="F109" s="36" t="inlineStr">
        <is>
          <t>A student account set to Grade 9 with Social Science available.</t>
        </is>
      </c>
      <c r="G109" s="36" t="inlineStr">
        <is>
          <t>1) For one Grade 9 Social Science chapter, compare cbse_syllabus rag_status/chunk_count/verified count to the actual indexed rows.</t>
        </is>
      </c>
      <c r="H109" s="36" t="inlineStr">
        <is>
          <t>Stored readiness matches reality for the sampled chapter.</t>
        </is>
      </c>
      <c r="I109" s="36" t="inlineStr">
        <is>
          <t>Evidence for Grade 9 Social Science — Readiness honesty (screenshot and/or SQL)</t>
        </is>
      </c>
      <c r="J109" s="41" t="inlineStr">
        <is>
          <t>NOT RUN</t>
        </is>
      </c>
      <c r="K109" s="36" t="inlineStr">
        <is>
          <t>Claude (pending env)</t>
        </is>
      </c>
      <c r="L109" s="36" t="n"/>
      <c r="M109" s="36" t="n"/>
      <c r="N109" s="36" t="inlineStr">
        <is>
          <t>[T3 | Phase 3 | Claude (pending env)] parametrized SQL probe via live/staging Supabase. awaiting live/staging Supabase read access + A/B test accounts</t>
        </is>
      </c>
    </row>
    <row r="110" ht="53.7" customHeight="1" s="29">
      <c r="A110" s="37" t="inlineStr">
        <is>
          <t>MX-CONTENT-0108</t>
        </is>
      </c>
      <c r="B110" s="55" t="inlineStr">
        <is>
          <t>P2</t>
        </is>
      </c>
      <c r="C110" s="37" t="inlineStr">
        <is>
          <t>Content/RAG</t>
        </is>
      </c>
      <c r="D110" s="37" t="inlineStr">
        <is>
          <t>Grade 9 · Social Science · Hindi availability</t>
        </is>
      </c>
      <c r="E110" s="37" t="inlineStr">
        <is>
          <t>Confirms the 'Hindi availability' dimension for Grade 9 Social Science. Coverage is proven per grade, per subject, per dimension — not claimed in aggregate. A gap on any dimension means that grade/subject is not truly launch-ready and must be fenced.</t>
        </is>
      </c>
      <c r="F110" s="37" t="inlineStr">
        <is>
          <t>A student account set to Grade 9 with Social Science available.</t>
        </is>
      </c>
      <c r="G110" s="37" t="inlineStr">
        <is>
          <t>1) For Grade 9 Social Science, confirm Hindi content retrieves under language='hi' where indexed, or returns LANGUAGE_GAP.</t>
        </is>
      </c>
      <c r="H110" s="37" t="inlineStr">
        <is>
          <t>Hindi served where indexed; explicit LANGUAGE_GAP otherwise; never silent English.</t>
        </is>
      </c>
      <c r="I110" s="37" t="inlineStr">
        <is>
          <t>Evidence for Grade 9 Social Science — Hindi availability (screenshot and/or SQL)</t>
        </is>
      </c>
      <c r="J110" s="43" t="inlineStr">
        <is>
          <t>NOT RUN</t>
        </is>
      </c>
      <c r="K110" s="37" t="inlineStr">
        <is>
          <t>Claude (pending env)</t>
        </is>
      </c>
      <c r="L110" s="37" t="n"/>
      <c r="M110" s="37" t="n"/>
      <c r="N110" s="37" t="inlineStr">
        <is>
          <t>[T3 | Phase 3 | Claude (pending env)] parametrized SQL probe via live/staging Supabase. awaiting live/staging Supabase read access + A/B test accounts</t>
        </is>
      </c>
    </row>
    <row r="111" ht="53.7" customHeight="1" s="29">
      <c r="A111" s="36" t="inlineStr">
        <is>
          <t>MX-CONTENT-0109</t>
        </is>
      </c>
      <c r="B111" s="54" t="inlineStr">
        <is>
          <t>P1</t>
        </is>
      </c>
      <c r="C111" s="36" t="inlineStr">
        <is>
          <t>Content/RAG</t>
        </is>
      </c>
      <c r="D111" s="36" t="inlineStr">
        <is>
          <t>Grade 9 · English · Syllabus tree loads</t>
        </is>
      </c>
      <c r="E111" s="36" t="inlineStr">
        <is>
          <t>Confirms the 'Syllabus tree loads' dimension for Grade 9 English. Coverage is proven per grade, per subject, per dimension — not claimed in aggregate. A gap on any dimension means that grade/subject is not truly launch-ready and must be fenced.</t>
        </is>
      </c>
      <c r="F111" s="36" t="inlineStr">
        <is>
          <t>A student account set to Grade 9 with English available.</t>
        </is>
      </c>
      <c r="G111" s="36" t="inlineStr">
        <is>
          <t>1) Open the English syllabus for Grade 9; confirm every chapter loads and the list matches cbse_syllabus exactly.</t>
        </is>
      </c>
      <c r="H111" s="36" t="inlineStr">
        <is>
          <t>Chapter list loads and matches the canonical taxonomy; no missing/extra/duplicate chapters.</t>
        </is>
      </c>
      <c r="I111" s="36" t="inlineStr">
        <is>
          <t>Evidence for Grade 9 English — Syllabus tree loads (screenshot and/or SQL)</t>
        </is>
      </c>
      <c r="J111" s="41" t="inlineStr">
        <is>
          <t>NOT RUN</t>
        </is>
      </c>
      <c r="K111" s="36" t="inlineStr">
        <is>
          <t>Claude (pending env)</t>
        </is>
      </c>
      <c r="L111" s="36" t="n"/>
      <c r="M111" s="36" t="n"/>
      <c r="N111" s="36" t="inlineStr">
        <is>
          <t>[T4 | Phase 4 | Claude (pending env)] Playwright/authenticated-API against running env. awaiting running staging URL + test accounts</t>
        </is>
      </c>
    </row>
    <row r="112" ht="53.7" customHeight="1" s="29">
      <c r="A112" s="37" t="inlineStr">
        <is>
          <t>MX-CONTENT-0110</t>
        </is>
      </c>
      <c r="B112" s="54" t="inlineStr">
        <is>
          <t>P1</t>
        </is>
      </c>
      <c r="C112" s="37" t="inlineStr">
        <is>
          <t>Content/RAG</t>
        </is>
      </c>
      <c r="D112" s="37" t="inlineStr">
        <is>
          <t>Grade 9 · English · Foxy in-syllabus grounding</t>
        </is>
      </c>
      <c r="E112" s="37" t="inlineStr">
        <is>
          <t>Confirms the 'Foxy in-syllabus grounding' dimension for Grade 9 English. Coverage is proven per grade, per subject, per dimension — not claimed in aggregate. A gap on any dimension means that grade/subject is not truly launch-ready and must be fenced.</t>
        </is>
      </c>
      <c r="F112" s="37" t="inlineStr">
        <is>
          <t>A student account set to Grade 9 with English available.</t>
        </is>
      </c>
      <c r="G112" s="37" t="inlineStr">
        <is>
          <t>1) Ask Foxy an in-syllabus English question for Grade 9; confirm a grounded, cited answer from NCERT chunks.</t>
        </is>
      </c>
      <c r="H112" s="37" t="inlineStr">
        <is>
          <t>Answer is correct, on-syllabus, cited; grounded_ai_traces written.</t>
        </is>
      </c>
      <c r="I112" s="37" t="inlineStr">
        <is>
          <t>Evidence for Grade 9 English — Foxy in-syllabus grounding (screenshot and/or SQL)</t>
        </is>
      </c>
      <c r="J112" s="43" t="inlineStr">
        <is>
          <t>NOT RUN</t>
        </is>
      </c>
      <c r="K112" s="37" t="inlineStr">
        <is>
          <t>Claude (pending env)</t>
        </is>
      </c>
      <c r="L112" s="37" t="n"/>
      <c r="M112" s="37" t="n"/>
      <c r="N112" s="37" t="inlineStr">
        <is>
          <t>[T4 | Phase 4 | Claude (pending env)] Playwright/authenticated-API against running env. awaiting running staging URL + test accounts</t>
        </is>
      </c>
    </row>
    <row r="113" ht="53.7" customHeight="1" s="29">
      <c r="A113" s="36" t="inlineStr">
        <is>
          <t>MX-CONTENT-0111</t>
        </is>
      </c>
      <c r="B113" s="54" t="inlineStr">
        <is>
          <t>P1</t>
        </is>
      </c>
      <c r="C113" s="36" t="inlineStr">
        <is>
          <t>Content/RAG</t>
        </is>
      </c>
      <c r="D113" s="36" t="inlineStr">
        <is>
          <t>Grade 9 · English · Foxy out-of-syllabus refusal</t>
        </is>
      </c>
      <c r="E113" s="36" t="inlineStr">
        <is>
          <t>Confirms the 'Foxy out-of-syllabus refusal' dimension for Grade 9 English. Coverage is proven per grade, per subject, per dimension — not claimed in aggregate. A gap on any dimension means that grade/subject is not truly launch-ready and must be fenced.</t>
        </is>
      </c>
      <c r="F113" s="36" t="inlineStr">
        <is>
          <t>A student account set to Grade 9 with English available.</t>
        </is>
      </c>
      <c r="G113" s="36" t="inlineStr">
        <is>
          <t>1) Ask Foxy an out-of-syllabus English question for Grade 9; confirm CURRICULUM_GAP, not a fabricated answer.</t>
        </is>
      </c>
      <c r="H113" s="36" t="inlineStr">
        <is>
          <t>Structured CURRICULUM_GAP returned; content_gaps logged; no hallucination.</t>
        </is>
      </c>
      <c r="I113" s="36" t="inlineStr">
        <is>
          <t>Evidence for Grade 9 English — Foxy out-of-syllabus refusal (screenshot and/or SQL)</t>
        </is>
      </c>
      <c r="J113" s="41" t="inlineStr">
        <is>
          <t>NOT RUN</t>
        </is>
      </c>
      <c r="K113" s="36" t="inlineStr">
        <is>
          <t>Claude (pending env)</t>
        </is>
      </c>
      <c r="L113" s="36" t="n"/>
      <c r="M113" s="36" t="n"/>
      <c r="N113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14" ht="53.7" customHeight="1" s="29">
      <c r="A114" s="37" t="inlineStr">
        <is>
          <t>MX-CONTENT-0112</t>
        </is>
      </c>
      <c r="B114" s="54" t="inlineStr">
        <is>
          <t>P1</t>
        </is>
      </c>
      <c r="C114" s="37" t="inlineStr">
        <is>
          <t>Content/RAG</t>
        </is>
      </c>
      <c r="D114" s="37" t="inlineStr">
        <is>
          <t>Grade 9 · English · Quiz generation (verified-only)</t>
        </is>
      </c>
      <c r="E114" s="37" t="inlineStr">
        <is>
          <t>Confirms the 'Quiz generation (verified-only)' dimension for Grade 9 English. Coverage is proven per grade, per subject, per dimension — not claimed in aggregate. A gap on any dimension means that grade/subject is not truly launch-ready and must be fenced.</t>
        </is>
      </c>
      <c r="F114" s="37" t="inlineStr">
        <is>
          <t>A student account set to Grade 9 with English available.</t>
        </is>
      </c>
      <c r="G114" s="37" t="inlineStr">
        <is>
          <t>1) Generate/take a English quiz for Grade 9; collect served ids and confirm all are verification_state='verified'.</t>
        </is>
      </c>
      <c r="H114" s="37" t="inlineStr">
        <is>
          <t>Quiz generates; 100% of served questions are verified; none unverified.</t>
        </is>
      </c>
      <c r="I114" s="37" t="inlineStr">
        <is>
          <t>Evidence for Grade 9 English — Quiz generation (verified-only) (screenshot and/or SQL)</t>
        </is>
      </c>
      <c r="J114" s="43" t="inlineStr">
        <is>
          <t>NOT RUN</t>
        </is>
      </c>
      <c r="K114" s="37" t="inlineStr">
        <is>
          <t>Claude (pending env)</t>
        </is>
      </c>
      <c r="L114" s="37" t="n"/>
      <c r="M114" s="37" t="n"/>
      <c r="N114" s="37" t="inlineStr">
        <is>
          <t>[T4 | Phase 4 | Claude (pending env)] Playwright/authenticated-API against running env. awaiting running staging URL + test accounts</t>
        </is>
      </c>
    </row>
    <row r="115" ht="53.7" customHeight="1" s="29">
      <c r="A115" s="36" t="inlineStr">
        <is>
          <t>MX-CONTENT-0113</t>
        </is>
      </c>
      <c r="B115" s="55" t="inlineStr">
        <is>
          <t>P2</t>
        </is>
      </c>
      <c r="C115" s="36" t="inlineStr">
        <is>
          <t>Content/RAG</t>
        </is>
      </c>
      <c r="D115" s="36" t="inlineStr">
        <is>
          <t>Grade 9 · English · Readiness honesty</t>
        </is>
      </c>
      <c r="E115" s="36" t="inlineStr">
        <is>
          <t>Confirms the 'Readiness honesty' dimension for Grade 9 English. Coverage is proven per grade, per subject, per dimension — not claimed in aggregate. A gap on any dimension means that grade/subject is not truly launch-ready and must be fenced.</t>
        </is>
      </c>
      <c r="F115" s="36" t="inlineStr">
        <is>
          <t>A student account set to Grade 9 with English available.</t>
        </is>
      </c>
      <c r="G115" s="36" t="inlineStr">
        <is>
          <t>1) For one Grade 9 English chapter, compare cbse_syllabus rag_status/chunk_count/verified count to the actual indexed rows.</t>
        </is>
      </c>
      <c r="H115" s="36" t="inlineStr">
        <is>
          <t>Stored readiness matches reality for the sampled chapter.</t>
        </is>
      </c>
      <c r="I115" s="36" t="inlineStr">
        <is>
          <t>Evidence for Grade 9 English — Readiness honesty (screenshot and/or SQL)</t>
        </is>
      </c>
      <c r="J115" s="41" t="inlineStr">
        <is>
          <t>NOT RUN</t>
        </is>
      </c>
      <c r="K115" s="36" t="inlineStr">
        <is>
          <t>Claude (pending env)</t>
        </is>
      </c>
      <c r="L115" s="36" t="n"/>
      <c r="M115" s="36" t="n"/>
      <c r="N115" s="36" t="inlineStr">
        <is>
          <t>[T3 | Phase 3 | Claude (pending env)] parametrized SQL probe via live/staging Supabase. awaiting live/staging Supabase read access + A/B test accounts</t>
        </is>
      </c>
    </row>
    <row r="116" ht="43.25" customHeight="1" s="29">
      <c r="A116" s="37" t="inlineStr">
        <is>
          <t>MX-CONTENT-0114</t>
        </is>
      </c>
      <c r="B116" s="55" t="inlineStr">
        <is>
          <t>P2</t>
        </is>
      </c>
      <c r="C116" s="37" t="inlineStr">
        <is>
          <t>Content/RAG</t>
        </is>
      </c>
      <c r="D116" s="37" t="inlineStr">
        <is>
          <t>Grade 9 · English · Hindi availability</t>
        </is>
      </c>
      <c r="E116" s="37" t="inlineStr">
        <is>
          <t>Confirms the 'Hindi availability' dimension for Grade 9 English. Coverage is proven per grade, per subject, per dimension — not claimed in aggregate. A gap on any dimension means that grade/subject is not truly launch-ready and must be fenced.</t>
        </is>
      </c>
      <c r="F116" s="37" t="inlineStr">
        <is>
          <t>A student account set to Grade 9 with English available.</t>
        </is>
      </c>
      <c r="G116" s="37" t="inlineStr">
        <is>
          <t>1) For Grade 9 English, confirm Hindi content retrieves under language='hi' where indexed, or returns LANGUAGE_GAP.</t>
        </is>
      </c>
      <c r="H116" s="37" t="inlineStr">
        <is>
          <t>Hindi served where indexed; explicit LANGUAGE_GAP otherwise; never silent English.</t>
        </is>
      </c>
      <c r="I116" s="37" t="inlineStr">
        <is>
          <t>Evidence for Grade 9 English — Hindi availability (screenshot and/or SQL)</t>
        </is>
      </c>
      <c r="J116" s="43" t="inlineStr">
        <is>
          <t>NOT RUN</t>
        </is>
      </c>
      <c r="K116" s="37" t="inlineStr">
        <is>
          <t>Claude (pending env)</t>
        </is>
      </c>
      <c r="L116" s="37" t="n"/>
      <c r="M116" s="37" t="n"/>
      <c r="N116" s="37" t="inlineStr">
        <is>
          <t>[T3 | Phase 3 | Claude (pending env)] parametrized SQL probe via live/staging Supabase. awaiting live/staging Supabase read access + A/B test accounts. FINDING: LANGUAGE_GAP not implemented in code (docs only) -&gt; candidate P-defect, not auto-PASS</t>
        </is>
      </c>
    </row>
    <row r="117" ht="43.25" customHeight="1" s="29">
      <c r="A117" s="36" t="inlineStr">
        <is>
          <t>MX-CONTENT-0115</t>
        </is>
      </c>
      <c r="B117" s="54" t="inlineStr">
        <is>
          <t>P1</t>
        </is>
      </c>
      <c r="C117" s="36" t="inlineStr">
        <is>
          <t>Content/RAG</t>
        </is>
      </c>
      <c r="D117" s="36" t="inlineStr">
        <is>
          <t>Grade 9 · Hindi · Syllabus tree loads</t>
        </is>
      </c>
      <c r="E117" s="36" t="inlineStr">
        <is>
          <t>Confirms the 'Syllabus tree loads' dimension for Grade 9 Hindi. Coverage is proven per grade, per subject, per dimension — not claimed in aggregate. A gap on any dimension means that grade/subject is not truly launch-ready and must be fenced.</t>
        </is>
      </c>
      <c r="F117" s="36" t="inlineStr">
        <is>
          <t>A student account set to Grade 9 with Hindi available.</t>
        </is>
      </c>
      <c r="G117" s="36" t="inlineStr">
        <is>
          <t>1) Open the Hindi syllabus for Grade 9; confirm every chapter loads and the list matches cbse_syllabus exactly.</t>
        </is>
      </c>
      <c r="H117" s="36" t="inlineStr">
        <is>
          <t>Chapter list loads and matches the canonical taxonomy; no missing/extra/duplicate chapters.</t>
        </is>
      </c>
      <c r="I117" s="36" t="inlineStr">
        <is>
          <t>Evidence for Grade 9 Hindi — Syllabus tree loads (screenshot and/or SQL)</t>
        </is>
      </c>
      <c r="J117" s="41" t="inlineStr">
        <is>
          <t>NOT RUN</t>
        </is>
      </c>
      <c r="K117" s="36" t="inlineStr">
        <is>
          <t>Claude (pending env)</t>
        </is>
      </c>
      <c r="L117" s="36" t="n"/>
      <c r="M117" s="36" t="n"/>
      <c r="N117" s="36" t="inlineStr">
        <is>
          <t>[T4 | Phase 4 | Claude (pending env)] Playwright/authenticated-API against running env. awaiting running staging URL + test accounts</t>
        </is>
      </c>
    </row>
    <row r="118" ht="43.25" customHeight="1" s="29">
      <c r="A118" s="37" t="inlineStr">
        <is>
          <t>MX-CONTENT-0116</t>
        </is>
      </c>
      <c r="B118" s="54" t="inlineStr">
        <is>
          <t>P1</t>
        </is>
      </c>
      <c r="C118" s="37" t="inlineStr">
        <is>
          <t>Content/RAG</t>
        </is>
      </c>
      <c r="D118" s="37" t="inlineStr">
        <is>
          <t>Grade 9 · Hindi · Foxy in-syllabus grounding</t>
        </is>
      </c>
      <c r="E118" s="37" t="inlineStr">
        <is>
          <t>Confirms the 'Foxy in-syllabus grounding' dimension for Grade 9 Hindi. Coverage is proven per grade, per subject, per dimension — not claimed in aggregate. A gap on any dimension means that grade/subject is not truly launch-ready and must be fenced.</t>
        </is>
      </c>
      <c r="F118" s="37" t="inlineStr">
        <is>
          <t>A student account set to Grade 9 with Hindi available.</t>
        </is>
      </c>
      <c r="G118" s="37" t="inlineStr">
        <is>
          <t>1) Ask Foxy an in-syllabus Hindi question for Grade 9; confirm a grounded, cited answer from NCERT chunks.</t>
        </is>
      </c>
      <c r="H118" s="37" t="inlineStr">
        <is>
          <t>Answer is correct, on-syllabus, cited; grounded_ai_traces written.</t>
        </is>
      </c>
      <c r="I118" s="37" t="inlineStr">
        <is>
          <t>Evidence for Grade 9 Hindi — Foxy in-syllabus grounding (screenshot and/or SQL)</t>
        </is>
      </c>
      <c r="J118" s="43" t="inlineStr">
        <is>
          <t>NOT RUN</t>
        </is>
      </c>
      <c r="K118" s="37" t="inlineStr">
        <is>
          <t>Claude (pending env)</t>
        </is>
      </c>
      <c r="L118" s="37" t="n"/>
      <c r="M118" s="37" t="n"/>
      <c r="N118" s="37" t="inlineStr">
        <is>
          <t>[T4 | Phase 4 | Claude (pending env)] Playwright/authenticated-API against running env. awaiting running staging URL + test accounts</t>
        </is>
      </c>
    </row>
    <row r="119" ht="53.7" customHeight="1" s="29">
      <c r="A119" s="36" t="inlineStr">
        <is>
          <t>MX-CONTENT-0117</t>
        </is>
      </c>
      <c r="B119" s="54" t="inlineStr">
        <is>
          <t>P1</t>
        </is>
      </c>
      <c r="C119" s="36" t="inlineStr">
        <is>
          <t>Content/RAG</t>
        </is>
      </c>
      <c r="D119" s="36" t="inlineStr">
        <is>
          <t>Grade 9 · Hindi · Foxy out-of-syllabus refusal</t>
        </is>
      </c>
      <c r="E119" s="36" t="inlineStr">
        <is>
          <t>Confirms the 'Foxy out-of-syllabus refusal' dimension for Grade 9 Hindi. Coverage is proven per grade, per subject, per dimension — not claimed in aggregate. A gap on any dimension means that grade/subject is not truly launch-ready and must be fenced.</t>
        </is>
      </c>
      <c r="F119" s="36" t="inlineStr">
        <is>
          <t>A student account set to Grade 9 with Hindi available.</t>
        </is>
      </c>
      <c r="G119" s="36" t="inlineStr">
        <is>
          <t>1) Ask Foxy an out-of-syllabus Hindi question for Grade 9; confirm CURRICULUM_GAP, not a fabricated answer.</t>
        </is>
      </c>
      <c r="H119" s="36" t="inlineStr">
        <is>
          <t>Structured CURRICULUM_GAP returned; content_gaps logged; no hallucination.</t>
        </is>
      </c>
      <c r="I119" s="36" t="inlineStr">
        <is>
          <t>Evidence for Grade 9 Hindi — Foxy out-of-syllabus refusal (screenshot and/or SQL)</t>
        </is>
      </c>
      <c r="J119" s="41" t="inlineStr">
        <is>
          <t>NOT RUN</t>
        </is>
      </c>
      <c r="K119" s="36" t="inlineStr">
        <is>
          <t>Claude (pending env)</t>
        </is>
      </c>
      <c r="L119" s="36" t="n"/>
      <c r="M119" s="36" t="n"/>
      <c r="N119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20" ht="53.7" customHeight="1" s="29">
      <c r="A120" s="37" t="inlineStr">
        <is>
          <t>MX-CONTENT-0118</t>
        </is>
      </c>
      <c r="B120" s="54" t="inlineStr">
        <is>
          <t>P1</t>
        </is>
      </c>
      <c r="C120" s="37" t="inlineStr">
        <is>
          <t>Content/RAG</t>
        </is>
      </c>
      <c r="D120" s="37" t="inlineStr">
        <is>
          <t>Grade 9 · Hindi · Quiz generation (verified-only)</t>
        </is>
      </c>
      <c r="E120" s="37" t="inlineStr">
        <is>
          <t>Confirms the 'Quiz generation (verified-only)' dimension for Grade 9 Hindi. Coverage is proven per grade, per subject, per dimension — not claimed in aggregate. A gap on any dimension means that grade/subject is not truly launch-ready and must be fenced.</t>
        </is>
      </c>
      <c r="F120" s="37" t="inlineStr">
        <is>
          <t>A student account set to Grade 9 with Hindi available.</t>
        </is>
      </c>
      <c r="G120" s="37" t="inlineStr">
        <is>
          <t>1) Generate/take a Hindi quiz for Grade 9; collect served ids and confirm all are verification_state='verified'.</t>
        </is>
      </c>
      <c r="H120" s="37" t="inlineStr">
        <is>
          <t>Quiz generates; 100% of served questions are verified; none unverified.</t>
        </is>
      </c>
      <c r="I120" s="37" t="inlineStr">
        <is>
          <t>Evidence for Grade 9 Hindi — Quiz generation (verified-only) (screenshot and/or SQL)</t>
        </is>
      </c>
      <c r="J120" s="43" t="inlineStr">
        <is>
          <t>NOT RUN</t>
        </is>
      </c>
      <c r="K120" s="37" t="inlineStr">
        <is>
          <t>Claude (pending env)</t>
        </is>
      </c>
      <c r="L120" s="37" t="n"/>
      <c r="M120" s="37" t="n"/>
      <c r="N120" s="37" t="inlineStr">
        <is>
          <t>[T4 | Phase 4 | Claude (pending env)] Playwright/authenticated-API against running env. awaiting running staging URL + test accounts</t>
        </is>
      </c>
    </row>
    <row r="121" ht="43.25" customHeight="1" s="29">
      <c r="A121" s="36" t="inlineStr">
        <is>
          <t>MX-CONTENT-0119</t>
        </is>
      </c>
      <c r="B121" s="55" t="inlineStr">
        <is>
          <t>P2</t>
        </is>
      </c>
      <c r="C121" s="36" t="inlineStr">
        <is>
          <t>Content/RAG</t>
        </is>
      </c>
      <c r="D121" s="36" t="inlineStr">
        <is>
          <t>Grade 9 · Hindi · Readiness honesty</t>
        </is>
      </c>
      <c r="E121" s="36" t="inlineStr">
        <is>
          <t>Confirms the 'Readiness honesty' dimension for Grade 9 Hindi. Coverage is proven per grade, per subject, per dimension — not claimed in aggregate. A gap on any dimension means that grade/subject is not truly launch-ready and must be fenced.</t>
        </is>
      </c>
      <c r="F121" s="36" t="inlineStr">
        <is>
          <t>A student account set to Grade 9 with Hindi available.</t>
        </is>
      </c>
      <c r="G121" s="36" t="inlineStr">
        <is>
          <t>1) For one Grade 9 Hindi chapter, compare cbse_syllabus rag_status/chunk_count/verified count to the actual indexed rows.</t>
        </is>
      </c>
      <c r="H121" s="36" t="inlineStr">
        <is>
          <t>Stored readiness matches reality for the sampled chapter.</t>
        </is>
      </c>
      <c r="I121" s="36" t="inlineStr">
        <is>
          <t>Evidence for Grade 9 Hindi — Readiness honesty (screenshot and/or SQL)</t>
        </is>
      </c>
      <c r="J121" s="41" t="inlineStr">
        <is>
          <t>NOT RUN</t>
        </is>
      </c>
      <c r="K121" s="36" t="inlineStr">
        <is>
          <t>Claude (pending env)</t>
        </is>
      </c>
      <c r="L121" s="36" t="n"/>
      <c r="M121" s="36" t="n"/>
      <c r="N121" s="36" t="inlineStr">
        <is>
          <t>[T3 | Phase 3 | Claude (pending env)] parametrized SQL probe via live/staging Supabase. awaiting live/staging Supabase read access + A/B test accounts</t>
        </is>
      </c>
    </row>
    <row r="122" ht="43.25" customHeight="1" s="29">
      <c r="A122" s="37" t="inlineStr">
        <is>
          <t>MX-CONTENT-0120</t>
        </is>
      </c>
      <c r="B122" s="55" t="inlineStr">
        <is>
          <t>P2</t>
        </is>
      </c>
      <c r="C122" s="37" t="inlineStr">
        <is>
          <t>Content/RAG</t>
        </is>
      </c>
      <c r="D122" s="37" t="inlineStr">
        <is>
          <t>Grade 9 · Hindi · Hindi availability</t>
        </is>
      </c>
      <c r="E122" s="37" t="inlineStr">
        <is>
          <t>Confirms the 'Hindi availability' dimension for Grade 9 Hindi. Coverage is proven per grade, per subject, per dimension — not claimed in aggregate. A gap on any dimension means that grade/subject is not truly launch-ready and must be fenced.</t>
        </is>
      </c>
      <c r="F122" s="37" t="inlineStr">
        <is>
          <t>A student account set to Grade 9 with Hindi available.</t>
        </is>
      </c>
      <c r="G122" s="37" t="inlineStr">
        <is>
          <t>1) For Grade 9 Hindi, confirm Hindi content retrieves under language='hi' where indexed, or returns LANGUAGE_GAP.</t>
        </is>
      </c>
      <c r="H122" s="37" t="inlineStr">
        <is>
          <t>Hindi served where indexed; explicit LANGUAGE_GAP otherwise; never silent English.</t>
        </is>
      </c>
      <c r="I122" s="37" t="inlineStr">
        <is>
          <t>Evidence for Grade 9 Hindi — Hindi availability (screenshot and/or SQL)</t>
        </is>
      </c>
      <c r="J122" s="43" t="inlineStr">
        <is>
          <t>NOT RUN</t>
        </is>
      </c>
      <c r="K122" s="37" t="inlineStr">
        <is>
          <t>Claude (pending env)</t>
        </is>
      </c>
      <c r="L122" s="37" t="n"/>
      <c r="M122" s="37" t="n"/>
      <c r="N122" s="37" t="inlineStr">
        <is>
          <t>[T3 | Phase 3 | Claude (pending env)] parametrized SQL probe via live/staging Supabase. awaiting live/staging Supabase read access + A/B test accounts</t>
        </is>
      </c>
    </row>
    <row r="123" ht="53.7" customHeight="1" s="29">
      <c r="A123" s="36" t="inlineStr">
        <is>
          <t>MX-CONTENT-0121</t>
        </is>
      </c>
      <c r="B123" s="54" t="inlineStr">
        <is>
          <t>P1</t>
        </is>
      </c>
      <c r="C123" s="36" t="inlineStr">
        <is>
          <t>Content/RAG</t>
        </is>
      </c>
      <c r="D123" s="36" t="inlineStr">
        <is>
          <t>Grade 10 · Maths · Syllabus tree loads</t>
        </is>
      </c>
      <c r="E123" s="36" t="inlineStr">
        <is>
          <t>Confirms the 'Syllabus tree loads' dimension for Grade 10 Maths. Coverage is proven per grade, per subject, per dimension — not claimed in aggregate. A gap on any dimension means that grade/subject is not truly launch-ready and must be fenced.</t>
        </is>
      </c>
      <c r="F123" s="36" t="inlineStr">
        <is>
          <t>A student account set to Grade 10 with Maths available.</t>
        </is>
      </c>
      <c r="G123" s="36" t="inlineStr">
        <is>
          <t>1) Open the Maths syllabus for Grade 10; confirm every chapter loads and the list matches cbse_syllabus exactly.</t>
        </is>
      </c>
      <c r="H123" s="36" t="inlineStr">
        <is>
          <t>Chapter list loads and matches the canonical taxonomy; no missing/extra/duplicate chapters.</t>
        </is>
      </c>
      <c r="I123" s="36" t="inlineStr">
        <is>
          <t>Evidence for Grade 10 Maths — Syllabus tree loads (screenshot and/or SQL)</t>
        </is>
      </c>
      <c r="J123" s="41" t="inlineStr">
        <is>
          <t>NOT RUN</t>
        </is>
      </c>
      <c r="K123" s="36" t="inlineStr">
        <is>
          <t>Claude (pending env)</t>
        </is>
      </c>
      <c r="L123" s="36" t="n"/>
      <c r="M123" s="36" t="n"/>
      <c r="N123" s="36" t="inlineStr">
        <is>
          <t>[T4 | Phase 4 | Claude (pending env)] Playwright/authenticated-API against running env. awaiting running staging URL + test accounts</t>
        </is>
      </c>
    </row>
    <row r="124" ht="53.7" customHeight="1" s="29">
      <c r="A124" s="37" t="inlineStr">
        <is>
          <t>MX-CONTENT-0122</t>
        </is>
      </c>
      <c r="B124" s="54" t="inlineStr">
        <is>
          <t>P1</t>
        </is>
      </c>
      <c r="C124" s="37" t="inlineStr">
        <is>
          <t>Content/RAG</t>
        </is>
      </c>
      <c r="D124" s="37" t="inlineStr">
        <is>
          <t>Grade 10 · Maths · Foxy in-syllabus grounding</t>
        </is>
      </c>
      <c r="E124" s="37" t="inlineStr">
        <is>
          <t>Confirms the 'Foxy in-syllabus grounding' dimension for Grade 10 Maths. Coverage is proven per grade, per subject, per dimension — not claimed in aggregate. A gap on any dimension means that grade/subject is not truly launch-ready and must be fenced.</t>
        </is>
      </c>
      <c r="F124" s="37" t="inlineStr">
        <is>
          <t>A student account set to Grade 10 with Maths available.</t>
        </is>
      </c>
      <c r="G124" s="37" t="inlineStr">
        <is>
          <t>1) Ask Foxy an in-syllabus Maths question for Grade 10; confirm a grounded, cited answer from NCERT chunks.</t>
        </is>
      </c>
      <c r="H124" s="37" t="inlineStr">
        <is>
          <t>Answer is correct, on-syllabus, cited; grounded_ai_traces written.</t>
        </is>
      </c>
      <c r="I124" s="37" t="inlineStr">
        <is>
          <t>Evidence for Grade 10 Maths — Foxy in-syllabus grounding (screenshot and/or SQL)</t>
        </is>
      </c>
      <c r="J124" s="43" t="inlineStr">
        <is>
          <t>NOT RUN</t>
        </is>
      </c>
      <c r="K124" s="37" t="inlineStr">
        <is>
          <t>Claude (pending env)</t>
        </is>
      </c>
      <c r="L124" s="37" t="n"/>
      <c r="M124" s="37" t="n"/>
      <c r="N124" s="37" t="inlineStr">
        <is>
          <t>[T4 | Phase 4 | Claude (pending env)] Playwright/authenticated-API against running env. awaiting running staging URL + test accounts</t>
        </is>
      </c>
    </row>
    <row r="125" ht="53.7" customHeight="1" s="29">
      <c r="A125" s="36" t="inlineStr">
        <is>
          <t>MX-CONTENT-0123</t>
        </is>
      </c>
      <c r="B125" s="54" t="inlineStr">
        <is>
          <t>P1</t>
        </is>
      </c>
      <c r="C125" s="36" t="inlineStr">
        <is>
          <t>Content/RAG</t>
        </is>
      </c>
      <c r="D125" s="36" t="inlineStr">
        <is>
          <t>Grade 10 · Maths · Foxy out-of-syllabus refusal</t>
        </is>
      </c>
      <c r="E125" s="36" t="inlineStr">
        <is>
          <t>Confirms the 'Foxy out-of-syllabus refusal' dimension for Grade 10 Maths. Coverage is proven per grade, per subject, per dimension — not claimed in aggregate. A gap on any dimension means that grade/subject is not truly launch-ready and must be fenced.</t>
        </is>
      </c>
      <c r="F125" s="36" t="inlineStr">
        <is>
          <t>A student account set to Grade 10 with Maths available.</t>
        </is>
      </c>
      <c r="G125" s="36" t="inlineStr">
        <is>
          <t>1) Ask Foxy an out-of-syllabus Maths question for Grade 10; confirm CURRICULUM_GAP, not a fabricated answer.</t>
        </is>
      </c>
      <c r="H125" s="36" t="inlineStr">
        <is>
          <t>Structured CURRICULUM_GAP returned; content_gaps logged; no hallucination.</t>
        </is>
      </c>
      <c r="I125" s="36" t="inlineStr">
        <is>
          <t>Evidence for Grade 10 Maths — Foxy out-of-syllabus refusal (screenshot and/or SQL)</t>
        </is>
      </c>
      <c r="J125" s="41" t="inlineStr">
        <is>
          <t>NOT RUN</t>
        </is>
      </c>
      <c r="K125" s="36" t="inlineStr">
        <is>
          <t>Claude (pending env)</t>
        </is>
      </c>
      <c r="L125" s="36" t="n"/>
      <c r="M125" s="36" t="n"/>
      <c r="N125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26" ht="53.7" customHeight="1" s="29">
      <c r="A126" s="37" t="inlineStr">
        <is>
          <t>MX-CONTENT-0124</t>
        </is>
      </c>
      <c r="B126" s="54" t="inlineStr">
        <is>
          <t>P1</t>
        </is>
      </c>
      <c r="C126" s="37" t="inlineStr">
        <is>
          <t>Content/RAG</t>
        </is>
      </c>
      <c r="D126" s="37" t="inlineStr">
        <is>
          <t>Grade 10 · Maths · Quiz generation (verified-only)</t>
        </is>
      </c>
      <c r="E126" s="37" t="inlineStr">
        <is>
          <t>Confirms the 'Quiz generation (verified-only)' dimension for Grade 10 Maths. Coverage is proven per grade, per subject, per dimension — not claimed in aggregate. A gap on any dimension means that grade/subject is not truly launch-ready and must be fenced.</t>
        </is>
      </c>
      <c r="F126" s="37" t="inlineStr">
        <is>
          <t>A student account set to Grade 10 with Maths available.</t>
        </is>
      </c>
      <c r="G126" s="37" t="inlineStr">
        <is>
          <t>1) Generate/take a Maths quiz for Grade 10; collect served ids and confirm all are verification_state='verified'.</t>
        </is>
      </c>
      <c r="H126" s="37" t="inlineStr">
        <is>
          <t>Quiz generates; 100% of served questions are verified; none unverified.</t>
        </is>
      </c>
      <c r="I126" s="37" t="inlineStr">
        <is>
          <t>Evidence for Grade 10 Maths — Quiz generation (verified-only) (screenshot and/or SQL)</t>
        </is>
      </c>
      <c r="J126" s="43" t="inlineStr">
        <is>
          <t>NOT RUN</t>
        </is>
      </c>
      <c r="K126" s="37" t="inlineStr">
        <is>
          <t>Claude (pending env)</t>
        </is>
      </c>
      <c r="L126" s="37" t="n"/>
      <c r="M126" s="37" t="n"/>
      <c r="N126" s="37" t="inlineStr">
        <is>
          <t>[T4 | Phase 4 | Claude (pending env)] Playwright/authenticated-API against running env. awaiting running staging URL + test accounts</t>
        </is>
      </c>
    </row>
    <row r="127" ht="53.7" customHeight="1" s="29">
      <c r="A127" s="36" t="inlineStr">
        <is>
          <t>MX-CONTENT-0125</t>
        </is>
      </c>
      <c r="B127" s="55" t="inlineStr">
        <is>
          <t>P2</t>
        </is>
      </c>
      <c r="C127" s="36" t="inlineStr">
        <is>
          <t>Content/RAG</t>
        </is>
      </c>
      <c r="D127" s="36" t="inlineStr">
        <is>
          <t>Grade 10 · Maths · Readiness honesty</t>
        </is>
      </c>
      <c r="E127" s="36" t="inlineStr">
        <is>
          <t>Confirms the 'Readiness honesty' dimension for Grade 10 Maths. Coverage is proven per grade, per subject, per dimension — not claimed in aggregate. A gap on any dimension means that grade/subject is not truly launch-ready and must be fenced.</t>
        </is>
      </c>
      <c r="F127" s="36" t="inlineStr">
        <is>
          <t>A student account set to Grade 10 with Maths available.</t>
        </is>
      </c>
      <c r="G127" s="36" t="inlineStr">
        <is>
          <t>1) For one Grade 10 Maths chapter, compare cbse_syllabus rag_status/chunk_count/verified count to the actual indexed rows.</t>
        </is>
      </c>
      <c r="H127" s="36" t="inlineStr">
        <is>
          <t>Stored readiness matches reality for the sampled chapter.</t>
        </is>
      </c>
      <c r="I127" s="36" t="inlineStr">
        <is>
          <t>Evidence for Grade 10 Maths — Readiness honesty (screenshot and/or SQL)</t>
        </is>
      </c>
      <c r="J127" s="41" t="inlineStr">
        <is>
          <t>NOT RUN</t>
        </is>
      </c>
      <c r="K127" s="36" t="inlineStr">
        <is>
          <t>Claude (pending env)</t>
        </is>
      </c>
      <c r="L127" s="36" t="n"/>
      <c r="M127" s="36" t="n"/>
      <c r="N127" s="36" t="inlineStr">
        <is>
          <t>[T3 | Phase 3 | Claude (pending env)] parametrized SQL probe via live/staging Supabase. awaiting live/staging Supabase read access + A/B test accounts</t>
        </is>
      </c>
    </row>
    <row r="128" ht="43.25" customHeight="1" s="29">
      <c r="A128" s="37" t="inlineStr">
        <is>
          <t>MX-CONTENT-0126</t>
        </is>
      </c>
      <c r="B128" s="55" t="inlineStr">
        <is>
          <t>P2</t>
        </is>
      </c>
      <c r="C128" s="37" t="inlineStr">
        <is>
          <t>Content/RAG</t>
        </is>
      </c>
      <c r="D128" s="37" t="inlineStr">
        <is>
          <t>Grade 10 · Maths · Hindi availability</t>
        </is>
      </c>
      <c r="E128" s="37" t="inlineStr">
        <is>
          <t>Confirms the 'Hindi availability' dimension for Grade 10 Maths. Coverage is proven per grade, per subject, per dimension — not claimed in aggregate. A gap on any dimension means that grade/subject is not truly launch-ready and must be fenced.</t>
        </is>
      </c>
      <c r="F128" s="37" t="inlineStr">
        <is>
          <t>A student account set to Grade 10 with Maths available.</t>
        </is>
      </c>
      <c r="G128" s="37" t="inlineStr">
        <is>
          <t>1) For Grade 10 Maths, confirm Hindi content retrieves under language='hi' where indexed, or returns LANGUAGE_GAP.</t>
        </is>
      </c>
      <c r="H128" s="37" t="inlineStr">
        <is>
          <t>Hindi served where indexed; explicit LANGUAGE_GAP otherwise; never silent English.</t>
        </is>
      </c>
      <c r="I128" s="37" t="inlineStr">
        <is>
          <t>Evidence for Grade 10 Maths — Hindi availability (screenshot and/or SQL)</t>
        </is>
      </c>
      <c r="J128" s="43" t="inlineStr">
        <is>
          <t>NOT RUN</t>
        </is>
      </c>
      <c r="K128" s="37" t="inlineStr">
        <is>
          <t>Claude (pending env)</t>
        </is>
      </c>
      <c r="L128" s="37" t="n"/>
      <c r="M128" s="37" t="n"/>
      <c r="N128" s="37" t="inlineStr">
        <is>
          <t>[T3 | Phase 3 | Claude (pending env)] parametrized SQL probe via live/staging Supabase. awaiting live/staging Supabase read access + A/B test accounts</t>
        </is>
      </c>
    </row>
    <row r="129" ht="53.7" customHeight="1" s="29">
      <c r="A129" s="36" t="inlineStr">
        <is>
          <t>MX-CONTENT-0127</t>
        </is>
      </c>
      <c r="B129" s="54" t="inlineStr">
        <is>
          <t>P1</t>
        </is>
      </c>
      <c r="C129" s="36" t="inlineStr">
        <is>
          <t>Content/RAG</t>
        </is>
      </c>
      <c r="D129" s="36" t="inlineStr">
        <is>
          <t>Grade 10 · Science · Syllabus tree loads</t>
        </is>
      </c>
      <c r="E129" s="36" t="inlineStr">
        <is>
          <t>Confirms the 'Syllabus tree loads' dimension for Grade 10 Science. Coverage is proven per grade, per subject, per dimension — not claimed in aggregate. A gap on any dimension means that grade/subject is not truly launch-ready and must be fenced.</t>
        </is>
      </c>
      <c r="F129" s="36" t="inlineStr">
        <is>
          <t>A student account set to Grade 10 with Science available.</t>
        </is>
      </c>
      <c r="G129" s="36" t="inlineStr">
        <is>
          <t>1) Open the Science syllabus for Grade 10; confirm every chapter loads and the list matches cbse_syllabus exactly.</t>
        </is>
      </c>
      <c r="H129" s="36" t="inlineStr">
        <is>
          <t>Chapter list loads and matches the canonical taxonomy; no missing/extra/duplicate chapters.</t>
        </is>
      </c>
      <c r="I129" s="36" t="inlineStr">
        <is>
          <t>Evidence for Grade 10 Science — Syllabus tree loads (screenshot and/or SQL)</t>
        </is>
      </c>
      <c r="J129" s="41" t="inlineStr">
        <is>
          <t>NOT RUN</t>
        </is>
      </c>
      <c r="K129" s="36" t="inlineStr">
        <is>
          <t>Claude (pending env)</t>
        </is>
      </c>
      <c r="L129" s="36" t="n"/>
      <c r="M129" s="36" t="n"/>
      <c r="N129" s="36" t="inlineStr">
        <is>
          <t>[T4 | Phase 4 | Claude (pending env)] Playwright/authenticated-API against running env. awaiting running staging URL + test accounts</t>
        </is>
      </c>
    </row>
    <row r="130" ht="53.7" customHeight="1" s="29">
      <c r="A130" s="37" t="inlineStr">
        <is>
          <t>MX-CONTENT-0128</t>
        </is>
      </c>
      <c r="B130" s="54" t="inlineStr">
        <is>
          <t>P1</t>
        </is>
      </c>
      <c r="C130" s="37" t="inlineStr">
        <is>
          <t>Content/RAG</t>
        </is>
      </c>
      <c r="D130" s="37" t="inlineStr">
        <is>
          <t>Grade 10 · Science · Foxy in-syllabus grounding</t>
        </is>
      </c>
      <c r="E130" s="37" t="inlineStr">
        <is>
          <t>Confirms the 'Foxy in-syllabus grounding' dimension for Grade 10 Science. Coverage is proven per grade, per subject, per dimension — not claimed in aggregate. A gap on any dimension means that grade/subject is not truly launch-ready and must be fenced.</t>
        </is>
      </c>
      <c r="F130" s="37" t="inlineStr">
        <is>
          <t>A student account set to Grade 10 with Science available.</t>
        </is>
      </c>
      <c r="G130" s="37" t="inlineStr">
        <is>
          <t>1) Ask Foxy an in-syllabus Science question for Grade 10; confirm a grounded, cited answer from NCERT chunks.</t>
        </is>
      </c>
      <c r="H130" s="37" t="inlineStr">
        <is>
          <t>Answer is correct, on-syllabus, cited; grounded_ai_traces written.</t>
        </is>
      </c>
      <c r="I130" s="37" t="inlineStr">
        <is>
          <t>Evidence for Grade 10 Science — Foxy in-syllabus grounding (screenshot and/or SQL)</t>
        </is>
      </c>
      <c r="J130" s="43" t="inlineStr">
        <is>
          <t>NOT RUN</t>
        </is>
      </c>
      <c r="K130" s="37" t="inlineStr">
        <is>
          <t>Claude (pending env)</t>
        </is>
      </c>
      <c r="L130" s="37" t="n"/>
      <c r="M130" s="37" t="n"/>
      <c r="N130" s="37" t="inlineStr">
        <is>
          <t>[T4 | Phase 4 | Claude (pending env)] Playwright/authenticated-API against running env. awaiting running staging URL + test accounts</t>
        </is>
      </c>
    </row>
    <row r="131" ht="53.7" customHeight="1" s="29">
      <c r="A131" s="36" t="inlineStr">
        <is>
          <t>MX-CONTENT-0129</t>
        </is>
      </c>
      <c r="B131" s="54" t="inlineStr">
        <is>
          <t>P1</t>
        </is>
      </c>
      <c r="C131" s="36" t="inlineStr">
        <is>
          <t>Content/RAG</t>
        </is>
      </c>
      <c r="D131" s="36" t="inlineStr">
        <is>
          <t>Grade 10 · Science · Foxy out-of-syllabus refusal</t>
        </is>
      </c>
      <c r="E131" s="36" t="inlineStr">
        <is>
          <t>Confirms the 'Foxy out-of-syllabus refusal' dimension for Grade 10 Science. Coverage is proven per grade, per subject, per dimension — not claimed in aggregate. A gap on any dimension means that grade/subject is not truly launch-ready and must be fenced.</t>
        </is>
      </c>
      <c r="F131" s="36" t="inlineStr">
        <is>
          <t>A student account set to Grade 10 with Science available.</t>
        </is>
      </c>
      <c r="G131" s="36" t="inlineStr">
        <is>
          <t>1) Ask Foxy an out-of-syllabus Science question for Grade 10; confirm CURRICULUM_GAP, not a fabricated answer.</t>
        </is>
      </c>
      <c r="H131" s="36" t="inlineStr">
        <is>
          <t>Structured CURRICULUM_GAP returned; content_gaps logged; no hallucination.</t>
        </is>
      </c>
      <c r="I131" s="36" t="inlineStr">
        <is>
          <t>Evidence for Grade 10 Science — Foxy out-of-syllabus refusal (screenshot and/or SQL)</t>
        </is>
      </c>
      <c r="J131" s="41" t="inlineStr">
        <is>
          <t>NOT RUN</t>
        </is>
      </c>
      <c r="K131" s="36" t="inlineStr">
        <is>
          <t>Claude (pending env)</t>
        </is>
      </c>
      <c r="L131" s="36" t="n"/>
      <c r="M131" s="36" t="n"/>
      <c r="N131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32" ht="53.7" customHeight="1" s="29">
      <c r="A132" s="37" t="inlineStr">
        <is>
          <t>MX-CONTENT-0130</t>
        </is>
      </c>
      <c r="B132" s="54" t="inlineStr">
        <is>
          <t>P1</t>
        </is>
      </c>
      <c r="C132" s="37" t="inlineStr">
        <is>
          <t>Content/RAG</t>
        </is>
      </c>
      <c r="D132" s="37" t="inlineStr">
        <is>
          <t>Grade 10 · Science · Quiz generation (verified-only)</t>
        </is>
      </c>
      <c r="E132" s="37" t="inlineStr">
        <is>
          <t>Confirms the 'Quiz generation (verified-only)' dimension for Grade 10 Science. Coverage is proven per grade, per subject, per dimension — not claimed in aggregate. A gap on any dimension means that grade/subject is not truly launch-ready and must be fenced.</t>
        </is>
      </c>
      <c r="F132" s="37" t="inlineStr">
        <is>
          <t>A student account set to Grade 10 with Science available.</t>
        </is>
      </c>
      <c r="G132" s="37" t="inlineStr">
        <is>
          <t>1) Generate/take a Science quiz for Grade 10; collect served ids and confirm all are verification_state='verified'.</t>
        </is>
      </c>
      <c r="H132" s="37" t="inlineStr">
        <is>
          <t>Quiz generates; 100% of served questions are verified; none unverified.</t>
        </is>
      </c>
      <c r="I132" s="37" t="inlineStr">
        <is>
          <t>Evidence for Grade 10 Science — Quiz generation (verified-only) (screenshot and/or SQL)</t>
        </is>
      </c>
      <c r="J132" s="43" t="inlineStr">
        <is>
          <t>NOT RUN</t>
        </is>
      </c>
      <c r="K132" s="37" t="inlineStr">
        <is>
          <t>Claude (pending env)</t>
        </is>
      </c>
      <c r="L132" s="37" t="n"/>
      <c r="M132" s="37" t="n"/>
      <c r="N132" s="37" t="inlineStr">
        <is>
          <t>[T4 | Phase 4 | Claude (pending env)] Playwright/authenticated-API against running env. awaiting running staging URL + test accounts</t>
        </is>
      </c>
    </row>
    <row r="133" ht="53.7" customHeight="1" s="29">
      <c r="A133" s="36" t="inlineStr">
        <is>
          <t>MX-CONTENT-0131</t>
        </is>
      </c>
      <c r="B133" s="55" t="inlineStr">
        <is>
          <t>P2</t>
        </is>
      </c>
      <c r="C133" s="36" t="inlineStr">
        <is>
          <t>Content/RAG</t>
        </is>
      </c>
      <c r="D133" s="36" t="inlineStr">
        <is>
          <t>Grade 10 · Science · Readiness honesty</t>
        </is>
      </c>
      <c r="E133" s="36" t="inlineStr">
        <is>
          <t>Confirms the 'Readiness honesty' dimension for Grade 10 Science. Coverage is proven per grade, per subject, per dimension — not claimed in aggregate. A gap on any dimension means that grade/subject is not truly launch-ready and must be fenced.</t>
        </is>
      </c>
      <c r="F133" s="36" t="inlineStr">
        <is>
          <t>A student account set to Grade 10 with Science available.</t>
        </is>
      </c>
      <c r="G133" s="36" t="inlineStr">
        <is>
          <t>1) For one Grade 10 Science chapter, compare cbse_syllabus rag_status/chunk_count/verified count to the actual indexed rows.</t>
        </is>
      </c>
      <c r="H133" s="36" t="inlineStr">
        <is>
          <t>Stored readiness matches reality for the sampled chapter.</t>
        </is>
      </c>
      <c r="I133" s="36" t="inlineStr">
        <is>
          <t>Evidence for Grade 10 Science — Readiness honesty (screenshot and/or SQL)</t>
        </is>
      </c>
      <c r="J133" s="41" t="inlineStr">
        <is>
          <t>NOT RUN</t>
        </is>
      </c>
      <c r="K133" s="36" t="inlineStr">
        <is>
          <t>Claude (pending env)</t>
        </is>
      </c>
      <c r="L133" s="36" t="n"/>
      <c r="M133" s="36" t="n"/>
      <c r="N133" s="36" t="inlineStr">
        <is>
          <t>[T3 | Phase 3 | Claude (pending env)] parametrized SQL probe via live/staging Supabase. awaiting live/staging Supabase read access + A/B test accounts</t>
        </is>
      </c>
    </row>
    <row r="134" ht="43.25" customHeight="1" s="29">
      <c r="A134" s="37" t="inlineStr">
        <is>
          <t>MX-CONTENT-0132</t>
        </is>
      </c>
      <c r="B134" s="55" t="inlineStr">
        <is>
          <t>P2</t>
        </is>
      </c>
      <c r="C134" s="37" t="inlineStr">
        <is>
          <t>Content/RAG</t>
        </is>
      </c>
      <c r="D134" s="37" t="inlineStr">
        <is>
          <t>Grade 10 · Science · Hindi availability</t>
        </is>
      </c>
      <c r="E134" s="37" t="inlineStr">
        <is>
          <t>Confirms the 'Hindi availability' dimension for Grade 10 Science. Coverage is proven per grade, per subject, per dimension — not claimed in aggregate. A gap on any dimension means that grade/subject is not truly launch-ready and must be fenced.</t>
        </is>
      </c>
      <c r="F134" s="37" t="inlineStr">
        <is>
          <t>A student account set to Grade 10 with Science available.</t>
        </is>
      </c>
      <c r="G134" s="37" t="inlineStr">
        <is>
          <t>1) For Grade 10 Science, confirm Hindi content retrieves under language='hi' where indexed, or returns LANGUAGE_GAP.</t>
        </is>
      </c>
      <c r="H134" s="37" t="inlineStr">
        <is>
          <t>Hindi served where indexed; explicit LANGUAGE_GAP otherwise; never silent English.</t>
        </is>
      </c>
      <c r="I134" s="37" t="inlineStr">
        <is>
          <t>Evidence for Grade 10 Science — Hindi availability (screenshot and/or SQL)</t>
        </is>
      </c>
      <c r="J134" s="43" t="inlineStr">
        <is>
          <t>NOT RUN</t>
        </is>
      </c>
      <c r="K134" s="37" t="inlineStr">
        <is>
          <t>Claude (pending env)</t>
        </is>
      </c>
      <c r="L134" s="37" t="n"/>
      <c r="M134" s="37" t="n"/>
      <c r="N134" s="37" t="inlineStr">
        <is>
          <t>[T3 | Phase 3 | Claude (pending env)] parametrized SQL probe via live/staging Supabase. awaiting live/staging Supabase read access + A/B test accounts</t>
        </is>
      </c>
    </row>
    <row r="135" ht="53.7" customHeight="1" s="29">
      <c r="A135" s="36" t="inlineStr">
        <is>
          <t>MX-CONTENT-0133</t>
        </is>
      </c>
      <c r="B135" s="54" t="inlineStr">
        <is>
          <t>P1</t>
        </is>
      </c>
      <c r="C135" s="36" t="inlineStr">
        <is>
          <t>Content/RAG</t>
        </is>
      </c>
      <c r="D135" s="36" t="inlineStr">
        <is>
          <t>Grade 10 · Social Science · Syllabus tree loads</t>
        </is>
      </c>
      <c r="E135" s="36" t="inlineStr">
        <is>
          <t>Confirms the 'Syllabus tree loads' dimension for Grade 10 Social Science. Coverage is proven per grade, per subject, per dimension — not claimed in aggregate. A gap on any dimension means that grade/subject is not truly launch-ready and must be fenced.</t>
        </is>
      </c>
      <c r="F135" s="36" t="inlineStr">
        <is>
          <t>A student account set to Grade 10 with Social Science available.</t>
        </is>
      </c>
      <c r="G135" s="36" t="inlineStr">
        <is>
          <t>1) Open the Social Science syllabus for Grade 10; confirm every chapter loads and the list matches cbse_syllabus exactly.</t>
        </is>
      </c>
      <c r="H135" s="36" t="inlineStr">
        <is>
          <t>Chapter list loads and matches the canonical taxonomy; no missing/extra/duplicate chapters.</t>
        </is>
      </c>
      <c r="I135" s="36" t="inlineStr">
        <is>
          <t>Evidence for Grade 10 Social Science — Syllabus tree loads (screenshot and/or SQL)</t>
        </is>
      </c>
      <c r="J135" s="41" t="inlineStr">
        <is>
          <t>NOT RUN</t>
        </is>
      </c>
      <c r="K135" s="36" t="inlineStr">
        <is>
          <t>Claude (pending env)</t>
        </is>
      </c>
      <c r="L135" s="36" t="n"/>
      <c r="M135" s="36" t="n"/>
      <c r="N135" s="36" t="inlineStr">
        <is>
          <t>[T4 | Phase 4 | Claude (pending env)] Playwright/authenticated-API against running env. awaiting running staging URL + test accounts</t>
        </is>
      </c>
    </row>
    <row r="136" ht="53.7" customHeight="1" s="29">
      <c r="A136" s="37" t="inlineStr">
        <is>
          <t>MX-CONTENT-0134</t>
        </is>
      </c>
      <c r="B136" s="54" t="inlineStr">
        <is>
          <t>P1</t>
        </is>
      </c>
      <c r="C136" s="37" t="inlineStr">
        <is>
          <t>Content/RAG</t>
        </is>
      </c>
      <c r="D136" s="37" t="inlineStr">
        <is>
          <t>Grade 10 · Social Science · Foxy in-syllabus grounding</t>
        </is>
      </c>
      <c r="E136" s="37" t="inlineStr">
        <is>
          <t>Confirms the 'Foxy in-syllabus grounding' dimension for Grade 10 Social Science. Coverage is proven per grade, per subject, per dimension — not claimed in aggregate. A gap on any dimension means that grade/subject is not truly launch-ready and must be fenced.</t>
        </is>
      </c>
      <c r="F136" s="37" t="inlineStr">
        <is>
          <t>A student account set to Grade 10 with Social Science available.</t>
        </is>
      </c>
      <c r="G136" s="37" t="inlineStr">
        <is>
          <t>1) Ask Foxy an in-syllabus Social Science question for Grade 10; confirm a grounded, cited answer from NCERT chunks.</t>
        </is>
      </c>
      <c r="H136" s="37" t="inlineStr">
        <is>
          <t>Answer is correct, on-syllabus, cited; grounded_ai_traces written.</t>
        </is>
      </c>
      <c r="I136" s="37" t="inlineStr">
        <is>
          <t>Evidence for Grade 10 Social Science — Foxy in-syllabus grounding (screenshot and/or SQL)</t>
        </is>
      </c>
      <c r="J136" s="43" t="inlineStr">
        <is>
          <t>NOT RUN</t>
        </is>
      </c>
      <c r="K136" s="37" t="inlineStr">
        <is>
          <t>Claude (pending env)</t>
        </is>
      </c>
      <c r="L136" s="37" t="n"/>
      <c r="M136" s="37" t="n"/>
      <c r="N136" s="37" t="inlineStr">
        <is>
          <t>[T4 | Phase 4 | Claude (pending env)] Playwright/authenticated-API against running env. awaiting running staging URL + test accounts</t>
        </is>
      </c>
    </row>
    <row r="137" ht="53.7" customHeight="1" s="29">
      <c r="A137" s="36" t="inlineStr">
        <is>
          <t>MX-CONTENT-0135</t>
        </is>
      </c>
      <c r="B137" s="54" t="inlineStr">
        <is>
          <t>P1</t>
        </is>
      </c>
      <c r="C137" s="36" t="inlineStr">
        <is>
          <t>Content/RAG</t>
        </is>
      </c>
      <c r="D137" s="36" t="inlineStr">
        <is>
          <t>Grade 10 · Social Science · Foxy out-of-syllabus refusal</t>
        </is>
      </c>
      <c r="E137" s="36" t="inlineStr">
        <is>
          <t>Confirms the 'Foxy out-of-syllabus refusal' dimension for Grade 10 Social Science. Coverage is proven per grade, per subject, per dimension — not claimed in aggregate. A gap on any dimension means that grade/subject is not truly launch-ready and must be fenced.</t>
        </is>
      </c>
      <c r="F137" s="36" t="inlineStr">
        <is>
          <t>A student account set to Grade 10 with Social Science available.</t>
        </is>
      </c>
      <c r="G137" s="36" t="inlineStr">
        <is>
          <t>1) Ask Foxy an out-of-syllabus Social Science question for Grade 10; confirm CURRICULUM_GAP, not a fabricated answer.</t>
        </is>
      </c>
      <c r="H137" s="36" t="inlineStr">
        <is>
          <t>Structured CURRICULUM_GAP returned; content_gaps logged; no hallucination.</t>
        </is>
      </c>
      <c r="I137" s="36" t="inlineStr">
        <is>
          <t>Evidence for Grade 10 Social Science — Foxy out-of-syllabus refusal (screenshot and/or SQL)</t>
        </is>
      </c>
      <c r="J137" s="41" t="inlineStr">
        <is>
          <t>NOT RUN</t>
        </is>
      </c>
      <c r="K137" s="36" t="inlineStr">
        <is>
          <t>Claude (pending env)</t>
        </is>
      </c>
      <c r="L137" s="36" t="n"/>
      <c r="M137" s="36" t="n"/>
      <c r="N137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38" ht="53.7" customHeight="1" s="29">
      <c r="A138" s="37" t="inlineStr">
        <is>
          <t>MX-CONTENT-0136</t>
        </is>
      </c>
      <c r="B138" s="54" t="inlineStr">
        <is>
          <t>P1</t>
        </is>
      </c>
      <c r="C138" s="37" t="inlineStr">
        <is>
          <t>Content/RAG</t>
        </is>
      </c>
      <c r="D138" s="37" t="inlineStr">
        <is>
          <t>Grade 10 · Social Science · Quiz generation (verified-only)</t>
        </is>
      </c>
      <c r="E138" s="37" t="inlineStr">
        <is>
          <t>Confirms the 'Quiz generation (verified-only)' dimension for Grade 10 Social Science. Coverage is proven per grade, per subject, per dimension — not claimed in aggregate. A gap on any dimension means that grade/subject is not truly launch-ready and must be fenced.</t>
        </is>
      </c>
      <c r="F138" s="37" t="inlineStr">
        <is>
          <t>A student account set to Grade 10 with Social Science available.</t>
        </is>
      </c>
      <c r="G138" s="37" t="inlineStr">
        <is>
          <t>1) Generate/take a Social Science quiz for Grade 10; collect served ids and confirm all are verification_state='verified'.</t>
        </is>
      </c>
      <c r="H138" s="37" t="inlineStr">
        <is>
          <t>Quiz generates; 100% of served questions are verified; none unverified.</t>
        </is>
      </c>
      <c r="I138" s="37" t="inlineStr">
        <is>
          <t>Evidence for Grade 10 Social Science — Quiz generation (verified-only) (screenshot and/or SQL)</t>
        </is>
      </c>
      <c r="J138" s="43" t="inlineStr">
        <is>
          <t>NOT RUN</t>
        </is>
      </c>
      <c r="K138" s="37" t="inlineStr">
        <is>
          <t>Claude (pending env)</t>
        </is>
      </c>
      <c r="L138" s="37" t="n"/>
      <c r="M138" s="37" t="n"/>
      <c r="N138" s="37" t="inlineStr">
        <is>
          <t>[T4 | Phase 4 | Claude (pending env)] Playwright/authenticated-API against running env. awaiting running staging URL + test accounts</t>
        </is>
      </c>
    </row>
    <row r="139" ht="53.7" customHeight="1" s="29">
      <c r="A139" s="36" t="inlineStr">
        <is>
          <t>MX-CONTENT-0137</t>
        </is>
      </c>
      <c r="B139" s="55" t="inlineStr">
        <is>
          <t>P2</t>
        </is>
      </c>
      <c r="C139" s="36" t="inlineStr">
        <is>
          <t>Content/RAG</t>
        </is>
      </c>
      <c r="D139" s="36" t="inlineStr">
        <is>
          <t>Grade 10 · Social Science · Readiness honesty</t>
        </is>
      </c>
      <c r="E139" s="36" t="inlineStr">
        <is>
          <t>Confirms the 'Readiness honesty' dimension for Grade 10 Social Science. Coverage is proven per grade, per subject, per dimension — not claimed in aggregate. A gap on any dimension means that grade/subject is not truly launch-ready and must be fenced.</t>
        </is>
      </c>
      <c r="F139" s="36" t="inlineStr">
        <is>
          <t>A student account set to Grade 10 with Social Science available.</t>
        </is>
      </c>
      <c r="G139" s="36" t="inlineStr">
        <is>
          <t>1) For one Grade 10 Social Science chapter, compare cbse_syllabus rag_status/chunk_count/verified count to the actual indexed rows.</t>
        </is>
      </c>
      <c r="H139" s="36" t="inlineStr">
        <is>
          <t>Stored readiness matches reality for the sampled chapter.</t>
        </is>
      </c>
      <c r="I139" s="36" t="inlineStr">
        <is>
          <t>Evidence for Grade 10 Social Science — Readiness honesty (screenshot and/or SQL)</t>
        </is>
      </c>
      <c r="J139" s="41" t="inlineStr">
        <is>
          <t>NOT RUN</t>
        </is>
      </c>
      <c r="K139" s="36" t="inlineStr">
        <is>
          <t>Claude (pending env)</t>
        </is>
      </c>
      <c r="L139" s="36" t="n"/>
      <c r="M139" s="36" t="n"/>
      <c r="N139" s="36" t="inlineStr">
        <is>
          <t>[T3 | Phase 3 | Claude (pending env)] parametrized SQL probe via live/staging Supabase. awaiting live/staging Supabase read access + A/B test accounts</t>
        </is>
      </c>
    </row>
    <row r="140" ht="53.7" customHeight="1" s="29">
      <c r="A140" s="37" t="inlineStr">
        <is>
          <t>MX-CONTENT-0138</t>
        </is>
      </c>
      <c r="B140" s="55" t="inlineStr">
        <is>
          <t>P2</t>
        </is>
      </c>
      <c r="C140" s="37" t="inlineStr">
        <is>
          <t>Content/RAG</t>
        </is>
      </c>
      <c r="D140" s="37" t="inlineStr">
        <is>
          <t>Grade 10 · Social Science · Hindi availability</t>
        </is>
      </c>
      <c r="E140" s="37" t="inlineStr">
        <is>
          <t>Confirms the 'Hindi availability' dimension for Grade 10 Social Science. Coverage is proven per grade, per subject, per dimension — not claimed in aggregate. A gap on any dimension means that grade/subject is not truly launch-ready and must be fenced.</t>
        </is>
      </c>
      <c r="F140" s="37" t="inlineStr">
        <is>
          <t>A student account set to Grade 10 with Social Science available.</t>
        </is>
      </c>
      <c r="G140" s="37" t="inlineStr">
        <is>
          <t>1) For Grade 10 Social Science, confirm Hindi content retrieves under language='hi' where indexed, or returns LANGUAGE_GAP.</t>
        </is>
      </c>
      <c r="H140" s="37" t="inlineStr">
        <is>
          <t>Hindi served where indexed; explicit LANGUAGE_GAP otherwise; never silent English.</t>
        </is>
      </c>
      <c r="I140" s="37" t="inlineStr">
        <is>
          <t>Evidence for Grade 10 Social Science — Hindi availability (screenshot and/or SQL)</t>
        </is>
      </c>
      <c r="J140" s="43" t="inlineStr">
        <is>
          <t>NOT RUN</t>
        </is>
      </c>
      <c r="K140" s="37" t="inlineStr">
        <is>
          <t>Claude (pending env)</t>
        </is>
      </c>
      <c r="L140" s="37" t="n"/>
      <c r="M140" s="37" t="n"/>
      <c r="N140" s="37" t="inlineStr">
        <is>
          <t>[T3 | Phase 3 | Claude (pending env)] parametrized SQL probe via live/staging Supabase. awaiting live/staging Supabase read access + A/B test accounts</t>
        </is>
      </c>
    </row>
    <row r="141" ht="53.7" customHeight="1" s="29">
      <c r="A141" s="36" t="inlineStr">
        <is>
          <t>MX-CONTENT-0139</t>
        </is>
      </c>
      <c r="B141" s="54" t="inlineStr">
        <is>
          <t>P1</t>
        </is>
      </c>
      <c r="C141" s="36" t="inlineStr">
        <is>
          <t>Content/RAG</t>
        </is>
      </c>
      <c r="D141" s="36" t="inlineStr">
        <is>
          <t>Grade 10 · English · Syllabus tree loads</t>
        </is>
      </c>
      <c r="E141" s="36" t="inlineStr">
        <is>
          <t>Confirms the 'Syllabus tree loads' dimension for Grade 10 English. Coverage is proven per grade, per subject, per dimension — not claimed in aggregate. A gap on any dimension means that grade/subject is not truly launch-ready and must be fenced.</t>
        </is>
      </c>
      <c r="F141" s="36" t="inlineStr">
        <is>
          <t>A student account set to Grade 10 with English available.</t>
        </is>
      </c>
      <c r="G141" s="36" t="inlineStr">
        <is>
          <t>1) Open the English syllabus for Grade 10; confirm every chapter loads and the list matches cbse_syllabus exactly.</t>
        </is>
      </c>
      <c r="H141" s="36" t="inlineStr">
        <is>
          <t>Chapter list loads and matches the canonical taxonomy; no missing/extra/duplicate chapters.</t>
        </is>
      </c>
      <c r="I141" s="36" t="inlineStr">
        <is>
          <t>Evidence for Grade 10 English — Syllabus tree loads (screenshot and/or SQL)</t>
        </is>
      </c>
      <c r="J141" s="41" t="inlineStr">
        <is>
          <t>NOT RUN</t>
        </is>
      </c>
      <c r="K141" s="36" t="inlineStr">
        <is>
          <t>Claude (pending env)</t>
        </is>
      </c>
      <c r="L141" s="36" t="n"/>
      <c r="M141" s="36" t="n"/>
      <c r="N141" s="36" t="inlineStr">
        <is>
          <t>[T4 | Phase 4 | Claude (pending env)] Playwright/authenticated-API against running env. awaiting running staging URL + test accounts</t>
        </is>
      </c>
    </row>
    <row r="142" ht="53.7" customHeight="1" s="29">
      <c r="A142" s="37" t="inlineStr">
        <is>
          <t>MX-CONTENT-0140</t>
        </is>
      </c>
      <c r="B142" s="54" t="inlineStr">
        <is>
          <t>P1</t>
        </is>
      </c>
      <c r="C142" s="37" t="inlineStr">
        <is>
          <t>Content/RAG</t>
        </is>
      </c>
      <c r="D142" s="37" t="inlineStr">
        <is>
          <t>Grade 10 · English · Foxy in-syllabus grounding</t>
        </is>
      </c>
      <c r="E142" s="37" t="inlineStr">
        <is>
          <t>Confirms the 'Foxy in-syllabus grounding' dimension for Grade 10 English. Coverage is proven per grade, per subject, per dimension — not claimed in aggregate. A gap on any dimension means that grade/subject is not truly launch-ready and must be fenced.</t>
        </is>
      </c>
      <c r="F142" s="37" t="inlineStr">
        <is>
          <t>A student account set to Grade 10 with English available.</t>
        </is>
      </c>
      <c r="G142" s="37" t="inlineStr">
        <is>
          <t>1) Ask Foxy an in-syllabus English question for Grade 10; confirm a grounded, cited answer from NCERT chunks.</t>
        </is>
      </c>
      <c r="H142" s="37" t="inlineStr">
        <is>
          <t>Answer is correct, on-syllabus, cited; grounded_ai_traces written.</t>
        </is>
      </c>
      <c r="I142" s="37" t="inlineStr">
        <is>
          <t>Evidence for Grade 10 English — Foxy in-syllabus grounding (screenshot and/or SQL)</t>
        </is>
      </c>
      <c r="J142" s="43" t="inlineStr">
        <is>
          <t>NOT RUN</t>
        </is>
      </c>
      <c r="K142" s="37" t="inlineStr">
        <is>
          <t>Claude (pending env)</t>
        </is>
      </c>
      <c r="L142" s="37" t="n"/>
      <c r="M142" s="37" t="n"/>
      <c r="N142" s="37" t="inlineStr">
        <is>
          <t>[T4 | Phase 4 | Claude (pending env)] Playwright/authenticated-API against running env. awaiting running staging URL + test accounts</t>
        </is>
      </c>
    </row>
    <row r="143" ht="53.7" customHeight="1" s="29">
      <c r="A143" s="36" t="inlineStr">
        <is>
          <t>MX-CONTENT-0141</t>
        </is>
      </c>
      <c r="B143" s="54" t="inlineStr">
        <is>
          <t>P1</t>
        </is>
      </c>
      <c r="C143" s="36" t="inlineStr">
        <is>
          <t>Content/RAG</t>
        </is>
      </c>
      <c r="D143" s="36" t="inlineStr">
        <is>
          <t>Grade 10 · English · Foxy out-of-syllabus refusal</t>
        </is>
      </c>
      <c r="E143" s="36" t="inlineStr">
        <is>
          <t>Confirms the 'Foxy out-of-syllabus refusal' dimension for Grade 10 English. Coverage is proven per grade, per subject, per dimension — not claimed in aggregate. A gap on any dimension means that grade/subject is not truly launch-ready and must be fenced.</t>
        </is>
      </c>
      <c r="F143" s="36" t="inlineStr">
        <is>
          <t>A student account set to Grade 10 with English available.</t>
        </is>
      </c>
      <c r="G143" s="36" t="inlineStr">
        <is>
          <t>1) Ask Foxy an out-of-syllabus English question for Grade 10; confirm CURRICULUM_GAP, not a fabricated answer.</t>
        </is>
      </c>
      <c r="H143" s="36" t="inlineStr">
        <is>
          <t>Structured CURRICULUM_GAP returned; content_gaps logged; no hallucination.</t>
        </is>
      </c>
      <c r="I143" s="36" t="inlineStr">
        <is>
          <t>Evidence for Grade 10 English — Foxy out-of-syllabus refusal (screenshot and/or SQL)</t>
        </is>
      </c>
      <c r="J143" s="41" t="inlineStr">
        <is>
          <t>NOT RUN</t>
        </is>
      </c>
      <c r="K143" s="36" t="inlineStr">
        <is>
          <t>Claude (pending env)</t>
        </is>
      </c>
      <c r="L143" s="36" t="n"/>
      <c r="M143" s="36" t="n"/>
      <c r="N143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44" ht="53.7" customHeight="1" s="29">
      <c r="A144" s="37" t="inlineStr">
        <is>
          <t>MX-CONTENT-0142</t>
        </is>
      </c>
      <c r="B144" s="54" t="inlineStr">
        <is>
          <t>P1</t>
        </is>
      </c>
      <c r="C144" s="37" t="inlineStr">
        <is>
          <t>Content/RAG</t>
        </is>
      </c>
      <c r="D144" s="37" t="inlineStr">
        <is>
          <t>Grade 10 · English · Quiz generation (verified-only)</t>
        </is>
      </c>
      <c r="E144" s="37" t="inlineStr">
        <is>
          <t>Confirms the 'Quiz generation (verified-only)' dimension for Grade 10 English. Coverage is proven per grade, per subject, per dimension — not claimed in aggregate. A gap on any dimension means that grade/subject is not truly launch-ready and must be fenced.</t>
        </is>
      </c>
      <c r="F144" s="37" t="inlineStr">
        <is>
          <t>A student account set to Grade 10 with English available.</t>
        </is>
      </c>
      <c r="G144" s="37" t="inlineStr">
        <is>
          <t>1) Generate/take a English quiz for Grade 10; collect served ids and confirm all are verification_state='verified'.</t>
        </is>
      </c>
      <c r="H144" s="37" t="inlineStr">
        <is>
          <t>Quiz generates; 100% of served questions are verified; none unverified.</t>
        </is>
      </c>
      <c r="I144" s="37" t="inlineStr">
        <is>
          <t>Evidence for Grade 10 English — Quiz generation (verified-only) (screenshot and/or SQL)</t>
        </is>
      </c>
      <c r="J144" s="43" t="inlineStr">
        <is>
          <t>NOT RUN</t>
        </is>
      </c>
      <c r="K144" s="37" t="inlineStr">
        <is>
          <t>Claude (pending env)</t>
        </is>
      </c>
      <c r="L144" s="37" t="n"/>
      <c r="M144" s="37" t="n"/>
      <c r="N144" s="37" t="inlineStr">
        <is>
          <t>[T4 | Phase 4 | Claude (pending env)] Playwright/authenticated-API against running env. awaiting running staging URL + test accounts</t>
        </is>
      </c>
    </row>
    <row r="145" ht="53.7" customHeight="1" s="29">
      <c r="A145" s="36" t="inlineStr">
        <is>
          <t>MX-CONTENT-0143</t>
        </is>
      </c>
      <c r="B145" s="55" t="inlineStr">
        <is>
          <t>P2</t>
        </is>
      </c>
      <c r="C145" s="36" t="inlineStr">
        <is>
          <t>Content/RAG</t>
        </is>
      </c>
      <c r="D145" s="36" t="inlineStr">
        <is>
          <t>Grade 10 · English · Readiness honesty</t>
        </is>
      </c>
      <c r="E145" s="36" t="inlineStr">
        <is>
          <t>Confirms the 'Readiness honesty' dimension for Grade 10 English. Coverage is proven per grade, per subject, per dimension — not claimed in aggregate. A gap on any dimension means that grade/subject is not truly launch-ready and must be fenced.</t>
        </is>
      </c>
      <c r="F145" s="36" t="inlineStr">
        <is>
          <t>A student account set to Grade 10 with English available.</t>
        </is>
      </c>
      <c r="G145" s="36" t="inlineStr">
        <is>
          <t>1) For one Grade 10 English chapter, compare cbse_syllabus rag_status/chunk_count/verified count to the actual indexed rows.</t>
        </is>
      </c>
      <c r="H145" s="36" t="inlineStr">
        <is>
          <t>Stored readiness matches reality for the sampled chapter.</t>
        </is>
      </c>
      <c r="I145" s="36" t="inlineStr">
        <is>
          <t>Evidence for Grade 10 English — Readiness honesty (screenshot and/or SQL)</t>
        </is>
      </c>
      <c r="J145" s="41" t="inlineStr">
        <is>
          <t>NOT RUN</t>
        </is>
      </c>
      <c r="K145" s="36" t="inlineStr">
        <is>
          <t>Claude (pending env)</t>
        </is>
      </c>
      <c r="L145" s="36" t="n"/>
      <c r="M145" s="36" t="n"/>
      <c r="N145" s="36" t="inlineStr">
        <is>
          <t>[T3 | Phase 3 | Claude (pending env)] parametrized SQL probe via live/staging Supabase. awaiting live/staging Supabase read access + A/B test accounts</t>
        </is>
      </c>
    </row>
    <row r="146" ht="43.25" customHeight="1" s="29">
      <c r="A146" s="37" t="inlineStr">
        <is>
          <t>MX-CONTENT-0144</t>
        </is>
      </c>
      <c r="B146" s="55" t="inlineStr">
        <is>
          <t>P2</t>
        </is>
      </c>
      <c r="C146" s="37" t="inlineStr">
        <is>
          <t>Content/RAG</t>
        </is>
      </c>
      <c r="D146" s="37" t="inlineStr">
        <is>
          <t>Grade 10 · English · Hindi availability</t>
        </is>
      </c>
      <c r="E146" s="37" t="inlineStr">
        <is>
          <t>Confirms the 'Hindi availability' dimension for Grade 10 English. Coverage is proven per grade, per subject, per dimension — not claimed in aggregate. A gap on any dimension means that grade/subject is not truly launch-ready and must be fenced.</t>
        </is>
      </c>
      <c r="F146" s="37" t="inlineStr">
        <is>
          <t>A student account set to Grade 10 with English available.</t>
        </is>
      </c>
      <c r="G146" s="37" t="inlineStr">
        <is>
          <t>1) For Grade 10 English, confirm Hindi content retrieves under language='hi' where indexed, or returns LANGUAGE_GAP.</t>
        </is>
      </c>
      <c r="H146" s="37" t="inlineStr">
        <is>
          <t>Hindi served where indexed; explicit LANGUAGE_GAP otherwise; never silent English.</t>
        </is>
      </c>
      <c r="I146" s="37" t="inlineStr">
        <is>
          <t>Evidence for Grade 10 English — Hindi availability (screenshot and/or SQL)</t>
        </is>
      </c>
      <c r="J146" s="43" t="inlineStr">
        <is>
          <t>NOT RUN</t>
        </is>
      </c>
      <c r="K146" s="37" t="inlineStr">
        <is>
          <t>Claude (pending env)</t>
        </is>
      </c>
      <c r="L146" s="37" t="n"/>
      <c r="M146" s="37" t="n"/>
      <c r="N146" s="37" t="inlineStr">
        <is>
          <t>[T3 | Phase 3 | Claude (pending env)] parametrized SQL probe via live/staging Supabase. awaiting live/staging Supabase read access + A/B test accounts. FINDING: LANGUAGE_GAP not implemented in code (docs only) -&gt; candidate P-defect, not auto-PASS</t>
        </is>
      </c>
    </row>
    <row r="147" ht="43.25" customHeight="1" s="29">
      <c r="A147" s="36" t="inlineStr">
        <is>
          <t>MX-CONTENT-0145</t>
        </is>
      </c>
      <c r="B147" s="54" t="inlineStr">
        <is>
          <t>P1</t>
        </is>
      </c>
      <c r="C147" s="36" t="inlineStr">
        <is>
          <t>Content/RAG</t>
        </is>
      </c>
      <c r="D147" s="36" t="inlineStr">
        <is>
          <t>Grade 10 · Hindi · Syllabus tree loads</t>
        </is>
      </c>
      <c r="E147" s="36" t="inlineStr">
        <is>
          <t>Confirms the 'Syllabus tree loads' dimension for Grade 10 Hindi. Coverage is proven per grade, per subject, per dimension — not claimed in aggregate. A gap on any dimension means that grade/subject is not truly launch-ready and must be fenced.</t>
        </is>
      </c>
      <c r="F147" s="36" t="inlineStr">
        <is>
          <t>A student account set to Grade 10 with Hindi available.</t>
        </is>
      </c>
      <c r="G147" s="36" t="inlineStr">
        <is>
          <t>1) Open the Hindi syllabus for Grade 10; confirm every chapter loads and the list matches cbse_syllabus exactly.</t>
        </is>
      </c>
      <c r="H147" s="36" t="inlineStr">
        <is>
          <t>Chapter list loads and matches the canonical taxonomy; no missing/extra/duplicate chapters.</t>
        </is>
      </c>
      <c r="I147" s="36" t="inlineStr">
        <is>
          <t>Evidence for Grade 10 Hindi — Syllabus tree loads (screenshot and/or SQL)</t>
        </is>
      </c>
      <c r="J147" s="41" t="inlineStr">
        <is>
          <t>NOT RUN</t>
        </is>
      </c>
      <c r="K147" s="36" t="inlineStr">
        <is>
          <t>Claude (pending env)</t>
        </is>
      </c>
      <c r="L147" s="36" t="n"/>
      <c r="M147" s="36" t="n"/>
      <c r="N147" s="36" t="inlineStr">
        <is>
          <t>[T4 | Phase 4 | Claude (pending env)] Playwright/authenticated-API against running env. awaiting running staging URL + test accounts</t>
        </is>
      </c>
    </row>
    <row r="148" ht="53.7" customHeight="1" s="29">
      <c r="A148" s="37" t="inlineStr">
        <is>
          <t>MX-CONTENT-0146</t>
        </is>
      </c>
      <c r="B148" s="54" t="inlineStr">
        <is>
          <t>P1</t>
        </is>
      </c>
      <c r="C148" s="37" t="inlineStr">
        <is>
          <t>Content/RAG</t>
        </is>
      </c>
      <c r="D148" s="37" t="inlineStr">
        <is>
          <t>Grade 10 · Hindi · Foxy in-syllabus grounding</t>
        </is>
      </c>
      <c r="E148" s="37" t="inlineStr">
        <is>
          <t>Confirms the 'Foxy in-syllabus grounding' dimension for Grade 10 Hindi. Coverage is proven per grade, per subject, per dimension — not claimed in aggregate. A gap on any dimension means that grade/subject is not truly launch-ready and must be fenced.</t>
        </is>
      </c>
      <c r="F148" s="37" t="inlineStr">
        <is>
          <t>A student account set to Grade 10 with Hindi available.</t>
        </is>
      </c>
      <c r="G148" s="37" t="inlineStr">
        <is>
          <t>1) Ask Foxy an in-syllabus Hindi question for Grade 10; confirm a grounded, cited answer from NCERT chunks.</t>
        </is>
      </c>
      <c r="H148" s="37" t="inlineStr">
        <is>
          <t>Answer is correct, on-syllabus, cited; grounded_ai_traces written.</t>
        </is>
      </c>
      <c r="I148" s="37" t="inlineStr">
        <is>
          <t>Evidence for Grade 10 Hindi — Foxy in-syllabus grounding (screenshot and/or SQL)</t>
        </is>
      </c>
      <c r="J148" s="43" t="inlineStr">
        <is>
          <t>NOT RUN</t>
        </is>
      </c>
      <c r="K148" s="37" t="inlineStr">
        <is>
          <t>Claude (pending env)</t>
        </is>
      </c>
      <c r="L148" s="37" t="n"/>
      <c r="M148" s="37" t="n"/>
      <c r="N148" s="37" t="inlineStr">
        <is>
          <t>[T4 | Phase 4 | Claude (pending env)] Playwright/authenticated-API against running env. awaiting running staging URL + test accounts</t>
        </is>
      </c>
    </row>
    <row r="149" ht="53.7" customHeight="1" s="29">
      <c r="A149" s="36" t="inlineStr">
        <is>
          <t>MX-CONTENT-0147</t>
        </is>
      </c>
      <c r="B149" s="54" t="inlineStr">
        <is>
          <t>P1</t>
        </is>
      </c>
      <c r="C149" s="36" t="inlineStr">
        <is>
          <t>Content/RAG</t>
        </is>
      </c>
      <c r="D149" s="36" t="inlineStr">
        <is>
          <t>Grade 10 · Hindi · Foxy out-of-syllabus refusal</t>
        </is>
      </c>
      <c r="E149" s="36" t="inlineStr">
        <is>
          <t>Confirms the 'Foxy out-of-syllabus refusal' dimension for Grade 10 Hindi. Coverage is proven per grade, per subject, per dimension — not claimed in aggregate. A gap on any dimension means that grade/subject is not truly launch-ready and must be fenced.</t>
        </is>
      </c>
      <c r="F149" s="36" t="inlineStr">
        <is>
          <t>A student account set to Grade 10 with Hindi available.</t>
        </is>
      </c>
      <c r="G149" s="36" t="inlineStr">
        <is>
          <t>1) Ask Foxy an out-of-syllabus Hindi question for Grade 10; confirm CURRICULUM_GAP, not a fabricated answer.</t>
        </is>
      </c>
      <c r="H149" s="36" t="inlineStr">
        <is>
          <t>Structured CURRICULUM_GAP returned; content_gaps logged; no hallucination.</t>
        </is>
      </c>
      <c r="I149" s="36" t="inlineStr">
        <is>
          <t>Evidence for Grade 10 Hindi — Foxy out-of-syllabus refusal (screenshot and/or SQL)</t>
        </is>
      </c>
      <c r="J149" s="41" t="inlineStr">
        <is>
          <t>NOT RUN</t>
        </is>
      </c>
      <c r="K149" s="36" t="inlineStr">
        <is>
          <t>Claude (pending env)</t>
        </is>
      </c>
      <c r="L149" s="36" t="n"/>
      <c r="M149" s="36" t="n"/>
      <c r="N149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50" ht="53.7" customHeight="1" s="29">
      <c r="A150" s="37" t="inlineStr">
        <is>
          <t>MX-CONTENT-0148</t>
        </is>
      </c>
      <c r="B150" s="54" t="inlineStr">
        <is>
          <t>P1</t>
        </is>
      </c>
      <c r="C150" s="37" t="inlineStr">
        <is>
          <t>Content/RAG</t>
        </is>
      </c>
      <c r="D150" s="37" t="inlineStr">
        <is>
          <t>Grade 10 · Hindi · Quiz generation (verified-only)</t>
        </is>
      </c>
      <c r="E150" s="37" t="inlineStr">
        <is>
          <t>Confirms the 'Quiz generation (verified-only)' dimension for Grade 10 Hindi. Coverage is proven per grade, per subject, per dimension — not claimed in aggregate. A gap on any dimension means that grade/subject is not truly launch-ready and must be fenced.</t>
        </is>
      </c>
      <c r="F150" s="37" t="inlineStr">
        <is>
          <t>A student account set to Grade 10 with Hindi available.</t>
        </is>
      </c>
      <c r="G150" s="37" t="inlineStr">
        <is>
          <t>1) Generate/take a Hindi quiz for Grade 10; collect served ids and confirm all are verification_state='verified'.</t>
        </is>
      </c>
      <c r="H150" s="37" t="inlineStr">
        <is>
          <t>Quiz generates; 100% of served questions are verified; none unverified.</t>
        </is>
      </c>
      <c r="I150" s="37" t="inlineStr">
        <is>
          <t>Evidence for Grade 10 Hindi — Quiz generation (verified-only) (screenshot and/or SQL)</t>
        </is>
      </c>
      <c r="J150" s="43" t="inlineStr">
        <is>
          <t>NOT RUN</t>
        </is>
      </c>
      <c r="K150" s="37" t="inlineStr">
        <is>
          <t>Claude (pending env)</t>
        </is>
      </c>
      <c r="L150" s="37" t="n"/>
      <c r="M150" s="37" t="n"/>
      <c r="N150" s="37" t="inlineStr">
        <is>
          <t>[T4 | Phase 4 | Claude (pending env)] Playwright/authenticated-API against running env. awaiting running staging URL + test accounts</t>
        </is>
      </c>
    </row>
    <row r="151" ht="43.25" customHeight="1" s="29">
      <c r="A151" s="36" t="inlineStr">
        <is>
          <t>MX-CONTENT-0149</t>
        </is>
      </c>
      <c r="B151" s="55" t="inlineStr">
        <is>
          <t>P2</t>
        </is>
      </c>
      <c r="C151" s="36" t="inlineStr">
        <is>
          <t>Content/RAG</t>
        </is>
      </c>
      <c r="D151" s="36" t="inlineStr">
        <is>
          <t>Grade 10 · Hindi · Readiness honesty</t>
        </is>
      </c>
      <c r="E151" s="36" t="inlineStr">
        <is>
          <t>Confirms the 'Readiness honesty' dimension for Grade 10 Hindi. Coverage is proven per grade, per subject, per dimension — not claimed in aggregate. A gap on any dimension means that grade/subject is not truly launch-ready and must be fenced.</t>
        </is>
      </c>
      <c r="F151" s="36" t="inlineStr">
        <is>
          <t>A student account set to Grade 10 with Hindi available.</t>
        </is>
      </c>
      <c r="G151" s="36" t="inlineStr">
        <is>
          <t>1) For one Grade 10 Hindi chapter, compare cbse_syllabus rag_status/chunk_count/verified count to the actual indexed rows.</t>
        </is>
      </c>
      <c r="H151" s="36" t="inlineStr">
        <is>
          <t>Stored readiness matches reality for the sampled chapter.</t>
        </is>
      </c>
      <c r="I151" s="36" t="inlineStr">
        <is>
          <t>Evidence for Grade 10 Hindi — Readiness honesty (screenshot and/or SQL)</t>
        </is>
      </c>
      <c r="J151" s="41" t="inlineStr">
        <is>
          <t>NOT RUN</t>
        </is>
      </c>
      <c r="K151" s="36" t="inlineStr">
        <is>
          <t>Claude (pending env)</t>
        </is>
      </c>
      <c r="L151" s="36" t="n"/>
      <c r="M151" s="36" t="n"/>
      <c r="N151" s="36" t="inlineStr">
        <is>
          <t>[T3 | Phase 3 | Claude (pending env)] parametrized SQL probe via live/staging Supabase. awaiting live/staging Supabase read access + A/B test accounts</t>
        </is>
      </c>
    </row>
    <row r="152" ht="43.25" customHeight="1" s="29">
      <c r="A152" s="37" t="inlineStr">
        <is>
          <t>MX-CONTENT-0150</t>
        </is>
      </c>
      <c r="B152" s="55" t="inlineStr">
        <is>
          <t>P2</t>
        </is>
      </c>
      <c r="C152" s="37" t="inlineStr">
        <is>
          <t>Content/RAG</t>
        </is>
      </c>
      <c r="D152" s="37" t="inlineStr">
        <is>
          <t>Grade 10 · Hindi · Hindi availability</t>
        </is>
      </c>
      <c r="E152" s="37" t="inlineStr">
        <is>
          <t>Confirms the 'Hindi availability' dimension for Grade 10 Hindi. Coverage is proven per grade, per subject, per dimension — not claimed in aggregate. A gap on any dimension means that grade/subject is not truly launch-ready and must be fenced.</t>
        </is>
      </c>
      <c r="F152" s="37" t="inlineStr">
        <is>
          <t>A student account set to Grade 10 with Hindi available.</t>
        </is>
      </c>
      <c r="G152" s="37" t="inlineStr">
        <is>
          <t>1) For Grade 10 Hindi, confirm Hindi content retrieves under language='hi' where indexed, or returns LANGUAGE_GAP.</t>
        </is>
      </c>
      <c r="H152" s="37" t="inlineStr">
        <is>
          <t>Hindi served where indexed; explicit LANGUAGE_GAP otherwise; never silent English.</t>
        </is>
      </c>
      <c r="I152" s="37" t="inlineStr">
        <is>
          <t>Evidence for Grade 10 Hindi — Hindi availability (screenshot and/or SQL)</t>
        </is>
      </c>
      <c r="J152" s="43" t="inlineStr">
        <is>
          <t>NOT RUN</t>
        </is>
      </c>
      <c r="K152" s="37" t="inlineStr">
        <is>
          <t>Claude (pending env)</t>
        </is>
      </c>
      <c r="L152" s="37" t="n"/>
      <c r="M152" s="37" t="n"/>
      <c r="N152" s="37" t="inlineStr">
        <is>
          <t>[T3 | Phase 3 | Claude (pending env)] parametrized SQL probe via live/staging Supabase. awaiting live/staging Supabase read access + A/B test accounts</t>
        </is>
      </c>
    </row>
    <row r="153" ht="64.15000000000001" customHeight="1" s="29">
      <c r="A153" s="36" t="inlineStr">
        <is>
          <t>MX-CONTENT-0151</t>
        </is>
      </c>
      <c r="B153" s="54" t="inlineStr">
        <is>
          <t>P1</t>
        </is>
      </c>
      <c r="C153" s="36" t="inlineStr">
        <is>
          <t>Content/RAG</t>
        </is>
      </c>
      <c r="D153" s="36" t="inlineStr">
        <is>
          <t>Grade 11 · Maths · Syllabus tree loads</t>
        </is>
      </c>
      <c r="E153" s="36" t="inlineStr">
        <is>
          <t>Confirms the 'Syllabus tree loads' dimension for Grade 11 Maths.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53" s="36" t="inlineStr">
        <is>
          <t>A student account set to Grade 11 with Maths available.</t>
        </is>
      </c>
      <c r="G153" s="36" t="inlineStr">
        <is>
          <t>1) Open the Maths syllabus for Grade 11; confirm every chapter loads and the list matches cbse_syllabus exactly.</t>
        </is>
      </c>
      <c r="H153" s="36" t="inlineStr">
        <is>
          <t>Chapter list loads and matches the canonical taxonomy; no missing/extra/duplicate chapters.</t>
        </is>
      </c>
      <c r="I153" s="36" t="inlineStr">
        <is>
          <t>Evidence for Grade 11 Maths — Syllabus tree loads (screenshot and/or SQL)</t>
        </is>
      </c>
      <c r="J153" s="41" t="inlineStr">
        <is>
          <t>NOT RUN</t>
        </is>
      </c>
      <c r="K153" s="36" t="inlineStr">
        <is>
          <t>Claude (pending env)</t>
        </is>
      </c>
      <c r="L153" s="36" t="n"/>
      <c r="M153" s="36" t="n"/>
      <c r="N153" s="36" t="inlineStr">
        <is>
          <t>[T4 | Phase 4 | Claude (pending env)] Playwright/authenticated-API against running env. awaiting running staging URL + test accounts</t>
        </is>
      </c>
    </row>
    <row r="154" ht="64.15000000000001" customHeight="1" s="29">
      <c r="A154" s="37" t="inlineStr">
        <is>
          <t>MX-CONTENT-0152</t>
        </is>
      </c>
      <c r="B154" s="54" t="inlineStr">
        <is>
          <t>P1</t>
        </is>
      </c>
      <c r="C154" s="37" t="inlineStr">
        <is>
          <t>Content/RAG</t>
        </is>
      </c>
      <c r="D154" s="37" t="inlineStr">
        <is>
          <t>Grade 11 · Maths · Foxy in-syllabus grounding</t>
        </is>
      </c>
      <c r="E154" s="37" t="inlineStr">
        <is>
          <t>Confirms the 'Foxy in-syllabus grounding' dimension for Grade 11 Maths.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54" s="37" t="inlineStr">
        <is>
          <t>A student account set to Grade 11 with Maths available.</t>
        </is>
      </c>
      <c r="G154" s="37" t="inlineStr">
        <is>
          <t>1) Ask Foxy an in-syllabus Maths question for Grade 11; confirm a grounded, cited answer from NCERT chunks.</t>
        </is>
      </c>
      <c r="H154" s="37" t="inlineStr">
        <is>
          <t>Answer is correct, on-syllabus, cited; grounded_ai_traces written.</t>
        </is>
      </c>
      <c r="I154" s="37" t="inlineStr">
        <is>
          <t>Evidence for Grade 11 Maths — Foxy in-syllabus grounding (screenshot and/or SQL)</t>
        </is>
      </c>
      <c r="J154" s="43" t="inlineStr">
        <is>
          <t>NOT RUN</t>
        </is>
      </c>
      <c r="K154" s="37" t="inlineStr">
        <is>
          <t>Claude (pending env)</t>
        </is>
      </c>
      <c r="L154" s="37" t="n"/>
      <c r="M154" s="37" t="n"/>
      <c r="N154" s="37" t="inlineStr">
        <is>
          <t>[T4 | Phase 4 | Claude (pending env)] Playwright/authenticated-API against running env. awaiting running staging URL + test accounts</t>
        </is>
      </c>
    </row>
    <row r="155" ht="64.15000000000001" customHeight="1" s="29">
      <c r="A155" s="36" t="inlineStr">
        <is>
          <t>MX-CONTENT-0153</t>
        </is>
      </c>
      <c r="B155" s="54" t="inlineStr">
        <is>
          <t>P1</t>
        </is>
      </c>
      <c r="C155" s="36" t="inlineStr">
        <is>
          <t>Content/RAG</t>
        </is>
      </c>
      <c r="D155" s="36" t="inlineStr">
        <is>
          <t>Grade 11 · Maths · Foxy out-of-syllabus refusal</t>
        </is>
      </c>
      <c r="E155" s="36" t="inlineStr">
        <is>
          <t>Confirms the 'Foxy out-of-syllabus refusal' dimension for Grade 11 Maths.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55" s="36" t="inlineStr">
        <is>
          <t>A student account set to Grade 11 with Maths available.</t>
        </is>
      </c>
      <c r="G155" s="36" t="inlineStr">
        <is>
          <t>1) Ask Foxy an out-of-syllabus Maths question for Grade 11; confirm CURRICULUM_GAP, not a fabricated answer.</t>
        </is>
      </c>
      <c r="H155" s="36" t="inlineStr">
        <is>
          <t>Structured CURRICULUM_GAP returned; content_gaps logged; no hallucination.</t>
        </is>
      </c>
      <c r="I155" s="36" t="inlineStr">
        <is>
          <t>Evidence for Grade 11 Maths — Foxy out-of-syllabus refusal (screenshot and/or SQL)</t>
        </is>
      </c>
      <c r="J155" s="41" t="inlineStr">
        <is>
          <t>NOT RUN</t>
        </is>
      </c>
      <c r="K155" s="36" t="inlineStr">
        <is>
          <t>Claude (pending env)</t>
        </is>
      </c>
      <c r="L155" s="36" t="n"/>
      <c r="M155" s="36" t="n"/>
      <c r="N155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56" ht="64.15000000000001" customHeight="1" s="29">
      <c r="A156" s="37" t="inlineStr">
        <is>
          <t>MX-CONTENT-0154</t>
        </is>
      </c>
      <c r="B156" s="54" t="inlineStr">
        <is>
          <t>P1</t>
        </is>
      </c>
      <c r="C156" s="37" t="inlineStr">
        <is>
          <t>Content/RAG</t>
        </is>
      </c>
      <c r="D156" s="37" t="inlineStr">
        <is>
          <t>Grade 11 · Maths · Quiz generation (verified-only)</t>
        </is>
      </c>
      <c r="E156" s="37" t="inlineStr">
        <is>
          <t>Confirms the 'Quiz generation (verified-only)' dimension for Grade 11 Maths.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56" s="37" t="inlineStr">
        <is>
          <t>A student account set to Grade 11 with Maths available.</t>
        </is>
      </c>
      <c r="G156" s="37" t="inlineStr">
        <is>
          <t>1) Generate/take a Maths quiz for Grade 11; collect served ids and confirm all are verification_state='verified'.</t>
        </is>
      </c>
      <c r="H156" s="37" t="inlineStr">
        <is>
          <t>Quiz generates; 100% of served questions are verified; none unverified.</t>
        </is>
      </c>
      <c r="I156" s="37" t="inlineStr">
        <is>
          <t>Evidence for Grade 11 Maths — Quiz generation (verified-only) (screenshot and/or SQL)</t>
        </is>
      </c>
      <c r="J156" s="43" t="inlineStr">
        <is>
          <t>NOT RUN</t>
        </is>
      </c>
      <c r="K156" s="37" t="inlineStr">
        <is>
          <t>Claude (pending env)</t>
        </is>
      </c>
      <c r="L156" s="37" t="n"/>
      <c r="M156" s="37" t="n"/>
      <c r="N156" s="37" t="inlineStr">
        <is>
          <t>[T4 | Phase 4 | Claude (pending env)] Playwright/authenticated-API against running env. awaiting running staging URL + test accounts</t>
        </is>
      </c>
    </row>
    <row r="157" ht="64.15000000000001" customHeight="1" s="29">
      <c r="A157" s="36" t="inlineStr">
        <is>
          <t>MX-CONTENT-0155</t>
        </is>
      </c>
      <c r="B157" s="55" t="inlineStr">
        <is>
          <t>P2</t>
        </is>
      </c>
      <c r="C157" s="36" t="inlineStr">
        <is>
          <t>Content/RAG</t>
        </is>
      </c>
      <c r="D157" s="36" t="inlineStr">
        <is>
          <t>Grade 11 · Maths · Readiness honesty</t>
        </is>
      </c>
      <c r="E157" s="36" t="inlineStr">
        <is>
          <t>Confirms the 'Readiness honesty' dimension for Grade 11 Maths.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57" s="36" t="inlineStr">
        <is>
          <t>A student account set to Grade 11 with Maths available.</t>
        </is>
      </c>
      <c r="G157" s="36" t="inlineStr">
        <is>
          <t>1) For one Grade 11 Maths chapter, compare cbse_syllabus rag_status/chunk_count/verified count to the actual indexed rows.</t>
        </is>
      </c>
      <c r="H157" s="36" t="inlineStr">
        <is>
          <t>Stored readiness matches reality for the sampled chapter.</t>
        </is>
      </c>
      <c r="I157" s="36" t="inlineStr">
        <is>
          <t>Evidence for Grade 11 Maths — Readiness honesty (screenshot and/or SQL)</t>
        </is>
      </c>
      <c r="J157" s="41" t="inlineStr">
        <is>
          <t>NOT RUN</t>
        </is>
      </c>
      <c r="K157" s="36" t="inlineStr">
        <is>
          <t>Claude (pending env)</t>
        </is>
      </c>
      <c r="L157" s="36" t="n"/>
      <c r="M157" s="36" t="n"/>
      <c r="N157" s="36" t="inlineStr">
        <is>
          <t>[T3 | Phase 3 | Claude (pending env)] parametrized SQL probe via live/staging Supabase. awaiting live/staging Supabase read access + A/B test accounts</t>
        </is>
      </c>
    </row>
    <row r="158" ht="64.15000000000001" customHeight="1" s="29">
      <c r="A158" s="37" t="inlineStr">
        <is>
          <t>MX-CONTENT-0156</t>
        </is>
      </c>
      <c r="B158" s="55" t="inlineStr">
        <is>
          <t>P2</t>
        </is>
      </c>
      <c r="C158" s="37" t="inlineStr">
        <is>
          <t>Content/RAG</t>
        </is>
      </c>
      <c r="D158" s="37" t="inlineStr">
        <is>
          <t>Grade 11 · Maths · Hindi availability</t>
        </is>
      </c>
      <c r="E158" s="37" t="inlineStr">
        <is>
          <t>Confirms the 'Hindi availability' dimension for Grade 11 Maths.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58" s="37" t="inlineStr">
        <is>
          <t>A student account set to Grade 11 with Maths available.</t>
        </is>
      </c>
      <c r="G158" s="37" t="inlineStr">
        <is>
          <t>1) For Grade 11 Maths, confirm Hindi content retrieves under language='hi' where indexed, or returns LANGUAGE_GAP.</t>
        </is>
      </c>
      <c r="H158" s="37" t="inlineStr">
        <is>
          <t>Hindi served where indexed; explicit LANGUAGE_GAP otherwise; never silent English.</t>
        </is>
      </c>
      <c r="I158" s="37" t="inlineStr">
        <is>
          <t>Evidence for Grade 11 Maths — Hindi availability (screenshot and/or SQL)</t>
        </is>
      </c>
      <c r="J158" s="43" t="inlineStr">
        <is>
          <t>NOT RUN</t>
        </is>
      </c>
      <c r="K158" s="37" t="inlineStr">
        <is>
          <t>Claude (pending env)</t>
        </is>
      </c>
      <c r="L158" s="37" t="n"/>
      <c r="M158" s="37" t="n"/>
      <c r="N158" s="37" t="inlineStr">
        <is>
          <t>[T3 | Phase 3 | Claude (pending env)] parametrized SQL probe via live/staging Supabase. awaiting live/staging Supabase read access + A/B test accounts</t>
        </is>
      </c>
    </row>
    <row r="159" ht="64.15000000000001" customHeight="1" s="29">
      <c r="A159" s="36" t="inlineStr">
        <is>
          <t>MX-CONTENT-0157</t>
        </is>
      </c>
      <c r="B159" s="54" t="inlineStr">
        <is>
          <t>P1</t>
        </is>
      </c>
      <c r="C159" s="36" t="inlineStr">
        <is>
          <t>Content/RAG</t>
        </is>
      </c>
      <c r="D159" s="36" t="inlineStr">
        <is>
          <t>Grade 11 · Science · Syllabus tree loads</t>
        </is>
      </c>
      <c r="E159" s="36" t="inlineStr">
        <is>
          <t>Confirms the 'Syllabus tree loads' dimension for Grade 11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59" s="36" t="inlineStr">
        <is>
          <t>A student account set to Grade 11 with Science available.</t>
        </is>
      </c>
      <c r="G159" s="36" t="inlineStr">
        <is>
          <t>1) Open the Science syllabus for Grade 11; confirm every chapter loads and the list matches cbse_syllabus exactly.</t>
        </is>
      </c>
      <c r="H159" s="36" t="inlineStr">
        <is>
          <t>Chapter list loads and matches the canonical taxonomy; no missing/extra/duplicate chapters.</t>
        </is>
      </c>
      <c r="I159" s="36" t="inlineStr">
        <is>
          <t>Evidence for Grade 11 Science — Syllabus tree loads (screenshot and/or SQL)</t>
        </is>
      </c>
      <c r="J159" s="41" t="inlineStr">
        <is>
          <t>NOT RUN</t>
        </is>
      </c>
      <c r="K159" s="36" t="inlineStr">
        <is>
          <t>Claude (pending env)</t>
        </is>
      </c>
      <c r="L159" s="36" t="n"/>
      <c r="M159" s="36" t="n"/>
      <c r="N159" s="36" t="inlineStr">
        <is>
          <t>[T4 | Phase 4 | Claude (pending env)] Playwright/authenticated-API against running env. awaiting running staging URL + test accounts</t>
        </is>
      </c>
    </row>
    <row r="160" ht="64.15000000000001" customHeight="1" s="29">
      <c r="A160" s="37" t="inlineStr">
        <is>
          <t>MX-CONTENT-0158</t>
        </is>
      </c>
      <c r="B160" s="54" t="inlineStr">
        <is>
          <t>P1</t>
        </is>
      </c>
      <c r="C160" s="37" t="inlineStr">
        <is>
          <t>Content/RAG</t>
        </is>
      </c>
      <c r="D160" s="37" t="inlineStr">
        <is>
          <t>Grade 11 · Science · Foxy in-syllabus grounding</t>
        </is>
      </c>
      <c r="E160" s="37" t="inlineStr">
        <is>
          <t>Confirms the 'Foxy in-syllabus grounding' dimension for Grade 11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60" s="37" t="inlineStr">
        <is>
          <t>A student account set to Grade 11 with Science available.</t>
        </is>
      </c>
      <c r="G160" s="37" t="inlineStr">
        <is>
          <t>1) Ask Foxy an in-syllabus Science question for Grade 11; confirm a grounded, cited answer from NCERT chunks.</t>
        </is>
      </c>
      <c r="H160" s="37" t="inlineStr">
        <is>
          <t>Answer is correct, on-syllabus, cited; grounded_ai_traces written.</t>
        </is>
      </c>
      <c r="I160" s="37" t="inlineStr">
        <is>
          <t>Evidence for Grade 11 Science — Foxy in-syllabus grounding (screenshot and/or SQL)</t>
        </is>
      </c>
      <c r="J160" s="43" t="inlineStr">
        <is>
          <t>NOT RUN</t>
        </is>
      </c>
      <c r="K160" s="37" t="inlineStr">
        <is>
          <t>Claude (pending env)</t>
        </is>
      </c>
      <c r="L160" s="37" t="n"/>
      <c r="M160" s="37" t="n"/>
      <c r="N160" s="37" t="inlineStr">
        <is>
          <t>[T4 | Phase 4 | Claude (pending env)] Playwright/authenticated-API against running env. awaiting running staging URL + test accounts</t>
        </is>
      </c>
    </row>
    <row r="161" ht="64.15000000000001" customHeight="1" s="29">
      <c r="A161" s="36" t="inlineStr">
        <is>
          <t>MX-CONTENT-0159</t>
        </is>
      </c>
      <c r="B161" s="54" t="inlineStr">
        <is>
          <t>P1</t>
        </is>
      </c>
      <c r="C161" s="36" t="inlineStr">
        <is>
          <t>Content/RAG</t>
        </is>
      </c>
      <c r="D161" s="36" t="inlineStr">
        <is>
          <t>Grade 11 · Science · Foxy out-of-syllabus refusal</t>
        </is>
      </c>
      <c r="E161" s="36" t="inlineStr">
        <is>
          <t>Confirms the 'Foxy out-of-syllabus refusal' dimension for Grade 11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61" s="36" t="inlineStr">
        <is>
          <t>A student account set to Grade 11 with Science available.</t>
        </is>
      </c>
      <c r="G161" s="36" t="inlineStr">
        <is>
          <t>1) Ask Foxy an out-of-syllabus Science question for Grade 11; confirm CURRICULUM_GAP, not a fabricated answer.</t>
        </is>
      </c>
      <c r="H161" s="36" t="inlineStr">
        <is>
          <t>Structured CURRICULUM_GAP returned; content_gaps logged; no hallucination.</t>
        </is>
      </c>
      <c r="I161" s="36" t="inlineStr">
        <is>
          <t>Evidence for Grade 11 Science — Foxy out-of-syllabus refusal (screenshot and/or SQL)</t>
        </is>
      </c>
      <c r="J161" s="41" t="inlineStr">
        <is>
          <t>NOT RUN</t>
        </is>
      </c>
      <c r="K161" s="36" t="inlineStr">
        <is>
          <t>Claude (pending env)</t>
        </is>
      </c>
      <c r="L161" s="36" t="n"/>
      <c r="M161" s="36" t="n"/>
      <c r="N161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62" ht="64.15000000000001" customHeight="1" s="29">
      <c r="A162" s="37" t="inlineStr">
        <is>
          <t>MX-CONTENT-0160</t>
        </is>
      </c>
      <c r="B162" s="54" t="inlineStr">
        <is>
          <t>P1</t>
        </is>
      </c>
      <c r="C162" s="37" t="inlineStr">
        <is>
          <t>Content/RAG</t>
        </is>
      </c>
      <c r="D162" s="37" t="inlineStr">
        <is>
          <t>Grade 11 · Science · Quiz generation (verified-only)</t>
        </is>
      </c>
      <c r="E162" s="37" t="inlineStr">
        <is>
          <t>Confirms the 'Quiz generation (verified-only)' dimension for Grade 11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62" s="37" t="inlineStr">
        <is>
          <t>A student account set to Grade 11 with Science available.</t>
        </is>
      </c>
      <c r="G162" s="37" t="inlineStr">
        <is>
          <t>1) Generate/take a Science quiz for Grade 11; collect served ids and confirm all are verification_state='verified'.</t>
        </is>
      </c>
      <c r="H162" s="37" t="inlineStr">
        <is>
          <t>Quiz generates; 100% of served questions are verified; none unverified.</t>
        </is>
      </c>
      <c r="I162" s="37" t="inlineStr">
        <is>
          <t>Evidence for Grade 11 Science — Quiz generation (verified-only) (screenshot and/or SQL)</t>
        </is>
      </c>
      <c r="J162" s="43" t="inlineStr">
        <is>
          <t>NOT RUN</t>
        </is>
      </c>
      <c r="K162" s="37" t="inlineStr">
        <is>
          <t>Claude (pending env)</t>
        </is>
      </c>
      <c r="L162" s="37" t="n"/>
      <c r="M162" s="37" t="n"/>
      <c r="N162" s="37" t="inlineStr">
        <is>
          <t>[T4 | Phase 4 | Claude (pending env)] Playwright/authenticated-API against running env. awaiting running staging URL + test accounts</t>
        </is>
      </c>
    </row>
    <row r="163" ht="64.15000000000001" customHeight="1" s="29">
      <c r="A163" s="36" t="inlineStr">
        <is>
          <t>MX-CONTENT-0161</t>
        </is>
      </c>
      <c r="B163" s="55" t="inlineStr">
        <is>
          <t>P2</t>
        </is>
      </c>
      <c r="C163" s="36" t="inlineStr">
        <is>
          <t>Content/RAG</t>
        </is>
      </c>
      <c r="D163" s="36" t="inlineStr">
        <is>
          <t>Grade 11 · Science · Readiness honesty</t>
        </is>
      </c>
      <c r="E163" s="36" t="inlineStr">
        <is>
          <t>Confirms the 'Readiness honesty' dimension for Grade 11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63" s="36" t="inlineStr">
        <is>
          <t>A student account set to Grade 11 with Science available.</t>
        </is>
      </c>
      <c r="G163" s="36" t="inlineStr">
        <is>
          <t>1) For one Grade 11 Science chapter, compare cbse_syllabus rag_status/chunk_count/verified count to the actual indexed rows.</t>
        </is>
      </c>
      <c r="H163" s="36" t="inlineStr">
        <is>
          <t>Stored readiness matches reality for the sampled chapter.</t>
        </is>
      </c>
      <c r="I163" s="36" t="inlineStr">
        <is>
          <t>Evidence for Grade 11 Science — Readiness honesty (screenshot and/or SQL)</t>
        </is>
      </c>
      <c r="J163" s="41" t="inlineStr">
        <is>
          <t>NOT RUN</t>
        </is>
      </c>
      <c r="K163" s="36" t="inlineStr">
        <is>
          <t>Claude (pending env)</t>
        </is>
      </c>
      <c r="L163" s="36" t="n"/>
      <c r="M163" s="36" t="n"/>
      <c r="N163" s="36" t="inlineStr">
        <is>
          <t>[T3 | Phase 3 | Claude (pending env)] parametrized SQL probe via live/staging Supabase. awaiting live/staging Supabase read access + A/B test accounts</t>
        </is>
      </c>
    </row>
    <row r="164" ht="64.15000000000001" customHeight="1" s="29">
      <c r="A164" s="37" t="inlineStr">
        <is>
          <t>MX-CONTENT-0162</t>
        </is>
      </c>
      <c r="B164" s="55" t="inlineStr">
        <is>
          <t>P2</t>
        </is>
      </c>
      <c r="C164" s="37" t="inlineStr">
        <is>
          <t>Content/RAG</t>
        </is>
      </c>
      <c r="D164" s="37" t="inlineStr">
        <is>
          <t>Grade 11 · Science · Hindi availability</t>
        </is>
      </c>
      <c r="E164" s="37" t="inlineStr">
        <is>
          <t>Confirms the 'Hindi availability' dimension for Grade 11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64" s="37" t="inlineStr">
        <is>
          <t>A student account set to Grade 11 with Science available.</t>
        </is>
      </c>
      <c r="G164" s="37" t="inlineStr">
        <is>
          <t>1) For Grade 11 Science, confirm Hindi content retrieves under language='hi' where indexed, or returns LANGUAGE_GAP.</t>
        </is>
      </c>
      <c r="H164" s="37" t="inlineStr">
        <is>
          <t>Hindi served where indexed; explicit LANGUAGE_GAP otherwise; never silent English.</t>
        </is>
      </c>
      <c r="I164" s="37" t="inlineStr">
        <is>
          <t>Evidence for Grade 11 Science — Hindi availability (screenshot and/or SQL)</t>
        </is>
      </c>
      <c r="J164" s="43" t="inlineStr">
        <is>
          <t>NOT RUN</t>
        </is>
      </c>
      <c r="K164" s="37" t="inlineStr">
        <is>
          <t>Claude (pending env)</t>
        </is>
      </c>
      <c r="L164" s="37" t="n"/>
      <c r="M164" s="37" t="n"/>
      <c r="N164" s="37" t="inlineStr">
        <is>
          <t>[T3 | Phase 3 | Claude (pending env)] parametrized SQL probe via live/staging Supabase. awaiting live/staging Supabase read access + A/B test accounts</t>
        </is>
      </c>
    </row>
    <row r="165" ht="64.15000000000001" customHeight="1" s="29">
      <c r="A165" s="36" t="inlineStr">
        <is>
          <t>MX-CONTENT-0163</t>
        </is>
      </c>
      <c r="B165" s="54" t="inlineStr">
        <is>
          <t>P1</t>
        </is>
      </c>
      <c r="C165" s="36" t="inlineStr">
        <is>
          <t>Content/RAG</t>
        </is>
      </c>
      <c r="D165" s="36" t="inlineStr">
        <is>
          <t>Grade 11 · Social Science · Syllabus tree loads</t>
        </is>
      </c>
      <c r="E165" s="36" t="inlineStr">
        <is>
          <t>Confirms the 'Syllabus tree loads' dimension for Grade 11 Social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65" s="36" t="inlineStr">
        <is>
          <t>A student account set to Grade 11 with Social Science available.</t>
        </is>
      </c>
      <c r="G165" s="36" t="inlineStr">
        <is>
          <t>1) Open the Social Science syllabus for Grade 11; confirm every chapter loads and the list matches cbse_syllabus exactly.</t>
        </is>
      </c>
      <c r="H165" s="36" t="inlineStr">
        <is>
          <t>Chapter list loads and matches the canonical taxonomy; no missing/extra/duplicate chapters.</t>
        </is>
      </c>
      <c r="I165" s="36" t="inlineStr">
        <is>
          <t>Evidence for Grade 11 Social Science — Syllabus tree loads (screenshot and/or SQL)</t>
        </is>
      </c>
      <c r="J165" s="41" t="inlineStr">
        <is>
          <t>NOT RUN</t>
        </is>
      </c>
      <c r="K165" s="36" t="inlineStr">
        <is>
          <t>Claude (pending env)</t>
        </is>
      </c>
      <c r="L165" s="36" t="n"/>
      <c r="M165" s="36" t="n"/>
      <c r="N165" s="36" t="inlineStr">
        <is>
          <t>[T4 | Phase 4 | Claude (pending env)] Playwright/authenticated-API against running env. awaiting running staging URL + test accounts</t>
        </is>
      </c>
    </row>
    <row r="166" ht="64.15000000000001" customHeight="1" s="29">
      <c r="A166" s="37" t="inlineStr">
        <is>
          <t>MX-CONTENT-0164</t>
        </is>
      </c>
      <c r="B166" s="54" t="inlineStr">
        <is>
          <t>P1</t>
        </is>
      </c>
      <c r="C166" s="37" t="inlineStr">
        <is>
          <t>Content/RAG</t>
        </is>
      </c>
      <c r="D166" s="37" t="inlineStr">
        <is>
          <t>Grade 11 · Social Science · Foxy in-syllabus grounding</t>
        </is>
      </c>
      <c r="E166" s="37" t="inlineStr">
        <is>
          <t>Confirms the 'Foxy in-syllabus grounding' dimension for Grade 11 Social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66" s="37" t="inlineStr">
        <is>
          <t>A student account set to Grade 11 with Social Science available.</t>
        </is>
      </c>
      <c r="G166" s="37" t="inlineStr">
        <is>
          <t>1) Ask Foxy an in-syllabus Social Science question for Grade 11; confirm a grounded, cited answer from NCERT chunks.</t>
        </is>
      </c>
      <c r="H166" s="37" t="inlineStr">
        <is>
          <t>Answer is correct, on-syllabus, cited; grounded_ai_traces written.</t>
        </is>
      </c>
      <c r="I166" s="37" t="inlineStr">
        <is>
          <t>Evidence for Grade 11 Social Science — Foxy in-syllabus grounding (screenshot and/or SQL)</t>
        </is>
      </c>
      <c r="J166" s="43" t="inlineStr">
        <is>
          <t>NOT RUN</t>
        </is>
      </c>
      <c r="K166" s="37" t="inlineStr">
        <is>
          <t>Claude (pending env)</t>
        </is>
      </c>
      <c r="L166" s="37" t="n"/>
      <c r="M166" s="37" t="n"/>
      <c r="N166" s="37" t="inlineStr">
        <is>
          <t>[T4 | Phase 4 | Claude (pending env)] Playwright/authenticated-API against running env. awaiting running staging URL + test accounts</t>
        </is>
      </c>
    </row>
    <row r="167" ht="64.15000000000001" customHeight="1" s="29">
      <c r="A167" s="36" t="inlineStr">
        <is>
          <t>MX-CONTENT-0165</t>
        </is>
      </c>
      <c r="B167" s="54" t="inlineStr">
        <is>
          <t>P1</t>
        </is>
      </c>
      <c r="C167" s="36" t="inlineStr">
        <is>
          <t>Content/RAG</t>
        </is>
      </c>
      <c r="D167" s="36" t="inlineStr">
        <is>
          <t>Grade 11 · Social Science · Foxy out-of-syllabus refusal</t>
        </is>
      </c>
      <c r="E167" s="36" t="inlineStr">
        <is>
          <t>Confirms the 'Foxy out-of-syllabus refusal' dimension for Grade 11 Social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67" s="36" t="inlineStr">
        <is>
          <t>A student account set to Grade 11 with Social Science available.</t>
        </is>
      </c>
      <c r="G167" s="36" t="inlineStr">
        <is>
          <t>1) Ask Foxy an out-of-syllabus Social Science question for Grade 11; confirm CURRICULUM_GAP, not a fabricated answer.</t>
        </is>
      </c>
      <c r="H167" s="36" t="inlineStr">
        <is>
          <t>Structured CURRICULUM_GAP returned; content_gaps logged; no hallucination.</t>
        </is>
      </c>
      <c r="I167" s="36" t="inlineStr">
        <is>
          <t>Evidence for Grade 11 Social Science — Foxy out-of-syllabus refusal (screenshot and/or SQL)</t>
        </is>
      </c>
      <c r="J167" s="41" t="inlineStr">
        <is>
          <t>NOT RUN</t>
        </is>
      </c>
      <c r="K167" s="36" t="inlineStr">
        <is>
          <t>Claude (pending env)</t>
        </is>
      </c>
      <c r="L167" s="36" t="n"/>
      <c r="M167" s="36" t="n"/>
      <c r="N167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68" ht="64.15000000000001" customHeight="1" s="29">
      <c r="A168" s="37" t="inlineStr">
        <is>
          <t>MX-CONTENT-0166</t>
        </is>
      </c>
      <c r="B168" s="54" t="inlineStr">
        <is>
          <t>P1</t>
        </is>
      </c>
      <c r="C168" s="37" t="inlineStr">
        <is>
          <t>Content/RAG</t>
        </is>
      </c>
      <c r="D168" s="37" t="inlineStr">
        <is>
          <t>Grade 11 · Social Science · Quiz generation (verified-only)</t>
        </is>
      </c>
      <c r="E168" s="37" t="inlineStr">
        <is>
          <t>Confirms the 'Quiz generation (verified-only)' dimension for Grade 11 Social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68" s="37" t="inlineStr">
        <is>
          <t>A student account set to Grade 11 with Social Science available.</t>
        </is>
      </c>
      <c r="G168" s="37" t="inlineStr">
        <is>
          <t>1) Generate/take a Social Science quiz for Grade 11; collect served ids and confirm all are verification_state='verified'.</t>
        </is>
      </c>
      <c r="H168" s="37" t="inlineStr">
        <is>
          <t>Quiz generates; 100% of served questions are verified; none unverified.</t>
        </is>
      </c>
      <c r="I168" s="37" t="inlineStr">
        <is>
          <t>Evidence for Grade 11 Social Science — Quiz generation (verified-only) (screenshot and/or SQL)</t>
        </is>
      </c>
      <c r="J168" s="43" t="inlineStr">
        <is>
          <t>NOT RUN</t>
        </is>
      </c>
      <c r="K168" s="37" t="inlineStr">
        <is>
          <t>Claude (pending env)</t>
        </is>
      </c>
      <c r="L168" s="37" t="n"/>
      <c r="M168" s="37" t="n"/>
      <c r="N168" s="37" t="inlineStr">
        <is>
          <t>[T4 | Phase 4 | Claude (pending env)] Playwright/authenticated-API against running env. awaiting running staging URL + test accounts</t>
        </is>
      </c>
    </row>
    <row r="169" ht="64.15000000000001" customHeight="1" s="29">
      <c r="A169" s="36" t="inlineStr">
        <is>
          <t>MX-CONTENT-0167</t>
        </is>
      </c>
      <c r="B169" s="55" t="inlineStr">
        <is>
          <t>P2</t>
        </is>
      </c>
      <c r="C169" s="36" t="inlineStr">
        <is>
          <t>Content/RAG</t>
        </is>
      </c>
      <c r="D169" s="36" t="inlineStr">
        <is>
          <t>Grade 11 · Social Science · Readiness honesty</t>
        </is>
      </c>
      <c r="E169" s="36" t="inlineStr">
        <is>
          <t>Confirms the 'Readiness honesty' dimension for Grade 11 Social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69" s="36" t="inlineStr">
        <is>
          <t>A student account set to Grade 11 with Social Science available.</t>
        </is>
      </c>
      <c r="G169" s="36" t="inlineStr">
        <is>
          <t>1) For one Grade 11 Social Science chapter, compare cbse_syllabus rag_status/chunk_count/verified count to the actual indexed rows.</t>
        </is>
      </c>
      <c r="H169" s="36" t="inlineStr">
        <is>
          <t>Stored readiness matches reality for the sampled chapter.</t>
        </is>
      </c>
      <c r="I169" s="36" t="inlineStr">
        <is>
          <t>Evidence for Grade 11 Social Science — Readiness honesty (screenshot and/or SQL)</t>
        </is>
      </c>
      <c r="J169" s="41" t="inlineStr">
        <is>
          <t>NOT RUN</t>
        </is>
      </c>
      <c r="K169" s="36" t="inlineStr">
        <is>
          <t>Claude (pending env)</t>
        </is>
      </c>
      <c r="L169" s="36" t="n"/>
      <c r="M169" s="36" t="n"/>
      <c r="N169" s="36" t="inlineStr">
        <is>
          <t>[T3 | Phase 3 | Claude (pending env)] parametrized SQL probe via live/staging Supabase. awaiting live/staging Supabase read access + A/B test accounts</t>
        </is>
      </c>
    </row>
    <row r="170" ht="64.15000000000001" customHeight="1" s="29">
      <c r="A170" s="37" t="inlineStr">
        <is>
          <t>MX-CONTENT-0168</t>
        </is>
      </c>
      <c r="B170" s="55" t="inlineStr">
        <is>
          <t>P2</t>
        </is>
      </c>
      <c r="C170" s="37" t="inlineStr">
        <is>
          <t>Content/RAG</t>
        </is>
      </c>
      <c r="D170" s="37" t="inlineStr">
        <is>
          <t>Grade 11 · Social Science · Hindi availability</t>
        </is>
      </c>
      <c r="E170" s="37" t="inlineStr">
        <is>
          <t>Confirms the 'Hindi availability' dimension for Grade 11 Social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70" s="37" t="inlineStr">
        <is>
          <t>A student account set to Grade 11 with Social Science available.</t>
        </is>
      </c>
      <c r="G170" s="37" t="inlineStr">
        <is>
          <t>1) For Grade 11 Social Science, confirm Hindi content retrieves under language='hi' where indexed, or returns LANGUAGE_GAP.</t>
        </is>
      </c>
      <c r="H170" s="37" t="inlineStr">
        <is>
          <t>Hindi served where indexed; explicit LANGUAGE_GAP otherwise; never silent English.</t>
        </is>
      </c>
      <c r="I170" s="37" t="inlineStr">
        <is>
          <t>Evidence for Grade 11 Social Science — Hindi availability (screenshot and/or SQL)</t>
        </is>
      </c>
      <c r="J170" s="43" t="inlineStr">
        <is>
          <t>NOT RUN</t>
        </is>
      </c>
      <c r="K170" s="37" t="inlineStr">
        <is>
          <t>Claude (pending env)</t>
        </is>
      </c>
      <c r="L170" s="37" t="n"/>
      <c r="M170" s="37" t="n"/>
      <c r="N170" s="37" t="inlineStr">
        <is>
          <t>[T3 | Phase 3 | Claude (pending env)] parametrized SQL probe via live/staging Supabase. awaiting live/staging Supabase read access + A/B test accounts</t>
        </is>
      </c>
    </row>
    <row r="171" ht="64.15000000000001" customHeight="1" s="29">
      <c r="A171" s="36" t="inlineStr">
        <is>
          <t>MX-CONTENT-0169</t>
        </is>
      </c>
      <c r="B171" s="54" t="inlineStr">
        <is>
          <t>P1</t>
        </is>
      </c>
      <c r="C171" s="36" t="inlineStr">
        <is>
          <t>Content/RAG</t>
        </is>
      </c>
      <c r="D171" s="36" t="inlineStr">
        <is>
          <t>Grade 11 · English · Syllabus tree loads</t>
        </is>
      </c>
      <c r="E171" s="36" t="inlineStr">
        <is>
          <t>Confirms the 'Syllabus tree loads' dimension for Grade 11 English.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71" s="36" t="inlineStr">
        <is>
          <t>A student account set to Grade 11 with English available.</t>
        </is>
      </c>
      <c r="G171" s="36" t="inlineStr">
        <is>
          <t>1) Open the English syllabus for Grade 11; confirm every chapter loads and the list matches cbse_syllabus exactly.</t>
        </is>
      </c>
      <c r="H171" s="36" t="inlineStr">
        <is>
          <t>Chapter list loads and matches the canonical taxonomy; no missing/extra/duplicate chapters.</t>
        </is>
      </c>
      <c r="I171" s="36" t="inlineStr">
        <is>
          <t>Evidence for Grade 11 English — Syllabus tree loads (screenshot and/or SQL)</t>
        </is>
      </c>
      <c r="J171" s="41" t="inlineStr">
        <is>
          <t>NOT RUN</t>
        </is>
      </c>
      <c r="K171" s="36" t="inlineStr">
        <is>
          <t>Claude (pending env)</t>
        </is>
      </c>
      <c r="L171" s="36" t="n"/>
      <c r="M171" s="36" t="n"/>
      <c r="N171" s="36" t="inlineStr">
        <is>
          <t>[T4 | Phase 4 | Claude (pending env)] Playwright/authenticated-API against running env. awaiting running staging URL + test accounts</t>
        </is>
      </c>
    </row>
    <row r="172" ht="64.15000000000001" customHeight="1" s="29">
      <c r="A172" s="37" t="inlineStr">
        <is>
          <t>MX-CONTENT-0170</t>
        </is>
      </c>
      <c r="B172" s="54" t="inlineStr">
        <is>
          <t>P1</t>
        </is>
      </c>
      <c r="C172" s="37" t="inlineStr">
        <is>
          <t>Content/RAG</t>
        </is>
      </c>
      <c r="D172" s="37" t="inlineStr">
        <is>
          <t>Grade 11 · English · Foxy in-syllabus grounding</t>
        </is>
      </c>
      <c r="E172" s="37" t="inlineStr">
        <is>
          <t>Confirms the 'Foxy in-syllabus grounding' dimension for Grade 11 English.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72" s="37" t="inlineStr">
        <is>
          <t>A student account set to Grade 11 with English available.</t>
        </is>
      </c>
      <c r="G172" s="37" t="inlineStr">
        <is>
          <t>1) Ask Foxy an in-syllabus English question for Grade 11; confirm a grounded, cited answer from NCERT chunks.</t>
        </is>
      </c>
      <c r="H172" s="37" t="inlineStr">
        <is>
          <t>Answer is correct, on-syllabus, cited; grounded_ai_traces written.</t>
        </is>
      </c>
      <c r="I172" s="37" t="inlineStr">
        <is>
          <t>Evidence for Grade 11 English — Foxy in-syllabus grounding (screenshot and/or SQL)</t>
        </is>
      </c>
      <c r="J172" s="43" t="inlineStr">
        <is>
          <t>NOT RUN</t>
        </is>
      </c>
      <c r="K172" s="37" t="inlineStr">
        <is>
          <t>Claude (pending env)</t>
        </is>
      </c>
      <c r="L172" s="37" t="n"/>
      <c r="M172" s="37" t="n"/>
      <c r="N172" s="37" t="inlineStr">
        <is>
          <t>[T4 | Phase 4 | Claude (pending env)] Playwright/authenticated-API against running env. awaiting running staging URL + test accounts</t>
        </is>
      </c>
    </row>
    <row r="173" ht="64.15000000000001" customHeight="1" s="29">
      <c r="A173" s="36" t="inlineStr">
        <is>
          <t>MX-CONTENT-0171</t>
        </is>
      </c>
      <c r="B173" s="54" t="inlineStr">
        <is>
          <t>P1</t>
        </is>
      </c>
      <c r="C173" s="36" t="inlineStr">
        <is>
          <t>Content/RAG</t>
        </is>
      </c>
      <c r="D173" s="36" t="inlineStr">
        <is>
          <t>Grade 11 · English · Foxy out-of-syllabus refusal</t>
        </is>
      </c>
      <c r="E173" s="36" t="inlineStr">
        <is>
          <t>Confirms the 'Foxy out-of-syllabus refusal' dimension for Grade 11 English.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73" s="36" t="inlineStr">
        <is>
          <t>A student account set to Grade 11 with English available.</t>
        </is>
      </c>
      <c r="G173" s="36" t="inlineStr">
        <is>
          <t>1) Ask Foxy an out-of-syllabus English question for Grade 11; confirm CURRICULUM_GAP, not a fabricated answer.</t>
        </is>
      </c>
      <c r="H173" s="36" t="inlineStr">
        <is>
          <t>Structured CURRICULUM_GAP returned; content_gaps logged; no hallucination.</t>
        </is>
      </c>
      <c r="I173" s="36" t="inlineStr">
        <is>
          <t>Evidence for Grade 11 English — Foxy out-of-syllabus refusal (screenshot and/or SQL)</t>
        </is>
      </c>
      <c r="J173" s="41" t="inlineStr">
        <is>
          <t>NOT RUN</t>
        </is>
      </c>
      <c r="K173" s="36" t="inlineStr">
        <is>
          <t>Claude (pending env)</t>
        </is>
      </c>
      <c r="L173" s="36" t="n"/>
      <c r="M173" s="36" t="n"/>
      <c r="N173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74" ht="64.15000000000001" customHeight="1" s="29">
      <c r="A174" s="37" t="inlineStr">
        <is>
          <t>MX-CONTENT-0172</t>
        </is>
      </c>
      <c r="B174" s="54" t="inlineStr">
        <is>
          <t>P1</t>
        </is>
      </c>
      <c r="C174" s="37" t="inlineStr">
        <is>
          <t>Content/RAG</t>
        </is>
      </c>
      <c r="D174" s="37" t="inlineStr">
        <is>
          <t>Grade 11 · English · Quiz generation (verified-only)</t>
        </is>
      </c>
      <c r="E174" s="37" t="inlineStr">
        <is>
          <t>Confirms the 'Quiz generation (verified-only)' dimension for Grade 11 English.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74" s="37" t="inlineStr">
        <is>
          <t>A student account set to Grade 11 with English available.</t>
        </is>
      </c>
      <c r="G174" s="37" t="inlineStr">
        <is>
          <t>1) Generate/take a English quiz for Grade 11; collect served ids and confirm all are verification_state='verified'.</t>
        </is>
      </c>
      <c r="H174" s="37" t="inlineStr">
        <is>
          <t>Quiz generates; 100% of served questions are verified; none unverified.</t>
        </is>
      </c>
      <c r="I174" s="37" t="inlineStr">
        <is>
          <t>Evidence for Grade 11 English — Quiz generation (verified-only) (screenshot and/or SQL)</t>
        </is>
      </c>
      <c r="J174" s="43" t="inlineStr">
        <is>
          <t>NOT RUN</t>
        </is>
      </c>
      <c r="K174" s="37" t="inlineStr">
        <is>
          <t>Claude (pending env)</t>
        </is>
      </c>
      <c r="L174" s="37" t="n"/>
      <c r="M174" s="37" t="n"/>
      <c r="N174" s="37" t="inlineStr">
        <is>
          <t>[T4 | Phase 4 | Claude (pending env)] Playwright/authenticated-API against running env. awaiting running staging URL + test accounts</t>
        </is>
      </c>
    </row>
    <row r="175" ht="64.15000000000001" customHeight="1" s="29">
      <c r="A175" s="36" t="inlineStr">
        <is>
          <t>MX-CONTENT-0173</t>
        </is>
      </c>
      <c r="B175" s="55" t="inlineStr">
        <is>
          <t>P2</t>
        </is>
      </c>
      <c r="C175" s="36" t="inlineStr">
        <is>
          <t>Content/RAG</t>
        </is>
      </c>
      <c r="D175" s="36" t="inlineStr">
        <is>
          <t>Grade 11 · English · Readiness honesty</t>
        </is>
      </c>
      <c r="E175" s="36" t="inlineStr">
        <is>
          <t>Confirms the 'Readiness honesty' dimension for Grade 11 English.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75" s="36" t="inlineStr">
        <is>
          <t>A student account set to Grade 11 with English available.</t>
        </is>
      </c>
      <c r="G175" s="36" t="inlineStr">
        <is>
          <t>1) For one Grade 11 English chapter, compare cbse_syllabus rag_status/chunk_count/verified count to the actual indexed rows.</t>
        </is>
      </c>
      <c r="H175" s="36" t="inlineStr">
        <is>
          <t>Stored readiness matches reality for the sampled chapter.</t>
        </is>
      </c>
      <c r="I175" s="36" t="inlineStr">
        <is>
          <t>Evidence for Grade 11 English — Readiness honesty (screenshot and/or SQL)</t>
        </is>
      </c>
      <c r="J175" s="41" t="inlineStr">
        <is>
          <t>NOT RUN</t>
        </is>
      </c>
      <c r="K175" s="36" t="inlineStr">
        <is>
          <t>Claude (pending env)</t>
        </is>
      </c>
      <c r="L175" s="36" t="n"/>
      <c r="M175" s="36" t="n"/>
      <c r="N175" s="36" t="inlineStr">
        <is>
          <t>[T3 | Phase 3 | Claude (pending env)] parametrized SQL probe via live/staging Supabase. awaiting live/staging Supabase read access + A/B test accounts</t>
        </is>
      </c>
    </row>
    <row r="176" ht="64.15000000000001" customHeight="1" s="29">
      <c r="A176" s="37" t="inlineStr">
        <is>
          <t>MX-CONTENT-0174</t>
        </is>
      </c>
      <c r="B176" s="55" t="inlineStr">
        <is>
          <t>P2</t>
        </is>
      </c>
      <c r="C176" s="37" t="inlineStr">
        <is>
          <t>Content/RAG</t>
        </is>
      </c>
      <c r="D176" s="37" t="inlineStr">
        <is>
          <t>Grade 11 · English · Hindi availability</t>
        </is>
      </c>
      <c r="E176" s="37" t="inlineStr">
        <is>
          <t>Confirms the 'Hindi availability' dimension for Grade 11 English.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76" s="37" t="inlineStr">
        <is>
          <t>A student account set to Grade 11 with English available.</t>
        </is>
      </c>
      <c r="G176" s="37" t="inlineStr">
        <is>
          <t>1) For Grade 11 English, confirm Hindi content retrieves under language='hi' where indexed, or returns LANGUAGE_GAP.</t>
        </is>
      </c>
      <c r="H176" s="37" t="inlineStr">
        <is>
          <t>Hindi served where indexed; explicit LANGUAGE_GAP otherwise; never silent English.</t>
        </is>
      </c>
      <c r="I176" s="37" t="inlineStr">
        <is>
          <t>Evidence for Grade 11 English — Hindi availability (screenshot and/or SQL)</t>
        </is>
      </c>
      <c r="J176" s="43" t="inlineStr">
        <is>
          <t>NOT RUN</t>
        </is>
      </c>
      <c r="K176" s="37" t="inlineStr">
        <is>
          <t>Claude (pending env)</t>
        </is>
      </c>
      <c r="L176" s="37" t="n"/>
      <c r="M176" s="37" t="n"/>
      <c r="N176" s="37" t="inlineStr">
        <is>
          <t>[T3 | Phase 3 | Claude (pending env)] parametrized SQL probe via live/staging Supabase. awaiting live/staging Supabase read access + A/B test accounts. FINDING: LANGUAGE_GAP not implemented in code (docs only) -&gt; candidate P-defect, not auto-PASS</t>
        </is>
      </c>
    </row>
    <row r="177" ht="64.15000000000001" customHeight="1" s="29">
      <c r="A177" s="36" t="inlineStr">
        <is>
          <t>MX-CONTENT-0175</t>
        </is>
      </c>
      <c r="B177" s="54" t="inlineStr">
        <is>
          <t>P1</t>
        </is>
      </c>
      <c r="C177" s="36" t="inlineStr">
        <is>
          <t>Content/RAG</t>
        </is>
      </c>
      <c r="D177" s="36" t="inlineStr">
        <is>
          <t>Grade 11 · Hindi · Syllabus tree loads</t>
        </is>
      </c>
      <c r="E177" s="36" t="inlineStr">
        <is>
          <t>Confirms the 'Syllabus tree loads' dimension for Grade 11 Hindi.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77" s="36" t="inlineStr">
        <is>
          <t>A student account set to Grade 11 with Hindi available.</t>
        </is>
      </c>
      <c r="G177" s="36" t="inlineStr">
        <is>
          <t>1) Open the Hindi syllabus for Grade 11; confirm every chapter loads and the list matches cbse_syllabus exactly.</t>
        </is>
      </c>
      <c r="H177" s="36" t="inlineStr">
        <is>
          <t>Chapter list loads and matches the canonical taxonomy; no missing/extra/duplicate chapters.</t>
        </is>
      </c>
      <c r="I177" s="36" t="inlineStr">
        <is>
          <t>Evidence for Grade 11 Hindi — Syllabus tree loads (screenshot and/or SQL)</t>
        </is>
      </c>
      <c r="J177" s="41" t="inlineStr">
        <is>
          <t>NOT RUN</t>
        </is>
      </c>
      <c r="K177" s="36" t="inlineStr">
        <is>
          <t>Claude (pending env)</t>
        </is>
      </c>
      <c r="L177" s="36" t="n"/>
      <c r="M177" s="36" t="n"/>
      <c r="N177" s="36" t="inlineStr">
        <is>
          <t>[T4 | Phase 4 | Claude (pending env)] Playwright/authenticated-API against running env. awaiting running staging URL + test accounts</t>
        </is>
      </c>
    </row>
    <row r="178" ht="64.15000000000001" customHeight="1" s="29">
      <c r="A178" s="37" t="inlineStr">
        <is>
          <t>MX-CONTENT-0176</t>
        </is>
      </c>
      <c r="B178" s="54" t="inlineStr">
        <is>
          <t>P1</t>
        </is>
      </c>
      <c r="C178" s="37" t="inlineStr">
        <is>
          <t>Content/RAG</t>
        </is>
      </c>
      <c r="D178" s="37" t="inlineStr">
        <is>
          <t>Grade 11 · Hindi · Foxy in-syllabus grounding</t>
        </is>
      </c>
      <c r="E178" s="37" t="inlineStr">
        <is>
          <t>Confirms the 'Foxy in-syllabus grounding' dimension for Grade 11 Hindi.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78" s="37" t="inlineStr">
        <is>
          <t>A student account set to Grade 11 with Hindi available.</t>
        </is>
      </c>
      <c r="G178" s="37" t="inlineStr">
        <is>
          <t>1) Ask Foxy an in-syllabus Hindi question for Grade 11; confirm a grounded, cited answer from NCERT chunks.</t>
        </is>
      </c>
      <c r="H178" s="37" t="inlineStr">
        <is>
          <t>Answer is correct, on-syllabus, cited; grounded_ai_traces written.</t>
        </is>
      </c>
      <c r="I178" s="37" t="inlineStr">
        <is>
          <t>Evidence for Grade 11 Hindi — Foxy in-syllabus grounding (screenshot and/or SQL)</t>
        </is>
      </c>
      <c r="J178" s="43" t="inlineStr">
        <is>
          <t>NOT RUN</t>
        </is>
      </c>
      <c r="K178" s="37" t="inlineStr">
        <is>
          <t>Claude (pending env)</t>
        </is>
      </c>
      <c r="L178" s="37" t="n"/>
      <c r="M178" s="37" t="n"/>
      <c r="N178" s="37" t="inlineStr">
        <is>
          <t>[T4 | Phase 4 | Claude (pending env)] Playwright/authenticated-API against running env. awaiting running staging URL + test accounts</t>
        </is>
      </c>
    </row>
    <row r="179" ht="64.15000000000001" customHeight="1" s="29">
      <c r="A179" s="36" t="inlineStr">
        <is>
          <t>MX-CONTENT-0177</t>
        </is>
      </c>
      <c r="B179" s="54" t="inlineStr">
        <is>
          <t>P1</t>
        </is>
      </c>
      <c r="C179" s="36" t="inlineStr">
        <is>
          <t>Content/RAG</t>
        </is>
      </c>
      <c r="D179" s="36" t="inlineStr">
        <is>
          <t>Grade 11 · Hindi · Foxy out-of-syllabus refusal</t>
        </is>
      </c>
      <c r="E179" s="36" t="inlineStr">
        <is>
          <t>Confirms the 'Foxy out-of-syllabus refusal' dimension for Grade 11 Hindi.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79" s="36" t="inlineStr">
        <is>
          <t>A student account set to Grade 11 with Hindi available.</t>
        </is>
      </c>
      <c r="G179" s="36" t="inlineStr">
        <is>
          <t>1) Ask Foxy an out-of-syllabus Hindi question for Grade 11; confirm CURRICULUM_GAP, not a fabricated answer.</t>
        </is>
      </c>
      <c r="H179" s="36" t="inlineStr">
        <is>
          <t>Structured CURRICULUM_GAP returned; content_gaps logged; no hallucination.</t>
        </is>
      </c>
      <c r="I179" s="36" t="inlineStr">
        <is>
          <t>Evidence for Grade 11 Hindi — Foxy out-of-syllabus refusal (screenshot and/or SQL)</t>
        </is>
      </c>
      <c r="J179" s="41" t="inlineStr">
        <is>
          <t>NOT RUN</t>
        </is>
      </c>
      <c r="K179" s="36" t="inlineStr">
        <is>
          <t>Claude (pending env)</t>
        </is>
      </c>
      <c r="L179" s="36" t="n"/>
      <c r="M179" s="36" t="n"/>
      <c r="N179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80" ht="64.15000000000001" customHeight="1" s="29">
      <c r="A180" s="37" t="inlineStr">
        <is>
          <t>MX-CONTENT-0178</t>
        </is>
      </c>
      <c r="B180" s="54" t="inlineStr">
        <is>
          <t>P1</t>
        </is>
      </c>
      <c r="C180" s="37" t="inlineStr">
        <is>
          <t>Content/RAG</t>
        </is>
      </c>
      <c r="D180" s="37" t="inlineStr">
        <is>
          <t>Grade 11 · Hindi · Quiz generation (verified-only)</t>
        </is>
      </c>
      <c r="E180" s="37" t="inlineStr">
        <is>
          <t>Confirms the 'Quiz generation (verified-only)' dimension for Grade 11 Hindi.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80" s="37" t="inlineStr">
        <is>
          <t>A student account set to Grade 11 with Hindi available.</t>
        </is>
      </c>
      <c r="G180" s="37" t="inlineStr">
        <is>
          <t>1) Generate/take a Hindi quiz for Grade 11; collect served ids and confirm all are verification_state='verified'.</t>
        </is>
      </c>
      <c r="H180" s="37" t="inlineStr">
        <is>
          <t>Quiz generates; 100% of served questions are verified; none unverified.</t>
        </is>
      </c>
      <c r="I180" s="37" t="inlineStr">
        <is>
          <t>Evidence for Grade 11 Hindi — Quiz generation (verified-only) (screenshot and/or SQL)</t>
        </is>
      </c>
      <c r="J180" s="43" t="inlineStr">
        <is>
          <t>NOT RUN</t>
        </is>
      </c>
      <c r="K180" s="37" t="inlineStr">
        <is>
          <t>Claude (pending env)</t>
        </is>
      </c>
      <c r="L180" s="37" t="n"/>
      <c r="M180" s="37" t="n"/>
      <c r="N180" s="37" t="inlineStr">
        <is>
          <t>[T4 | Phase 4 | Claude (pending env)] Playwright/authenticated-API against running env. awaiting running staging URL + test accounts</t>
        </is>
      </c>
    </row>
    <row r="181" ht="64.15000000000001" customHeight="1" s="29">
      <c r="A181" s="36" t="inlineStr">
        <is>
          <t>MX-CONTENT-0179</t>
        </is>
      </c>
      <c r="B181" s="55" t="inlineStr">
        <is>
          <t>P2</t>
        </is>
      </c>
      <c r="C181" s="36" t="inlineStr">
        <is>
          <t>Content/RAG</t>
        </is>
      </c>
      <c r="D181" s="36" t="inlineStr">
        <is>
          <t>Grade 11 · Hindi · Readiness honesty</t>
        </is>
      </c>
      <c r="E181" s="36" t="inlineStr">
        <is>
          <t>Confirms the 'Readiness honesty' dimension for Grade 11 Hindi.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81" s="36" t="inlineStr">
        <is>
          <t>A student account set to Grade 11 with Hindi available.</t>
        </is>
      </c>
      <c r="G181" s="36" t="inlineStr">
        <is>
          <t>1) For one Grade 11 Hindi chapter, compare cbse_syllabus rag_status/chunk_count/verified count to the actual indexed rows.</t>
        </is>
      </c>
      <c r="H181" s="36" t="inlineStr">
        <is>
          <t>Stored readiness matches reality for the sampled chapter.</t>
        </is>
      </c>
      <c r="I181" s="36" t="inlineStr">
        <is>
          <t>Evidence for Grade 11 Hindi — Readiness honesty (screenshot and/or SQL)</t>
        </is>
      </c>
      <c r="J181" s="41" t="inlineStr">
        <is>
          <t>NOT RUN</t>
        </is>
      </c>
      <c r="K181" s="36" t="inlineStr">
        <is>
          <t>Claude (pending env)</t>
        </is>
      </c>
      <c r="L181" s="36" t="n"/>
      <c r="M181" s="36" t="n"/>
      <c r="N181" s="36" t="inlineStr">
        <is>
          <t>[T3 | Phase 3 | Claude (pending env)] parametrized SQL probe via live/staging Supabase. awaiting live/staging Supabase read access + A/B test accounts</t>
        </is>
      </c>
    </row>
    <row r="182" ht="64.15000000000001" customHeight="1" s="29">
      <c r="A182" s="37" t="inlineStr">
        <is>
          <t>MX-CONTENT-0180</t>
        </is>
      </c>
      <c r="B182" s="55" t="inlineStr">
        <is>
          <t>P2</t>
        </is>
      </c>
      <c r="C182" s="37" t="inlineStr">
        <is>
          <t>Content/RAG</t>
        </is>
      </c>
      <c r="D182" s="37" t="inlineStr">
        <is>
          <t>Grade 11 · Hindi · Hindi availability</t>
        </is>
      </c>
      <c r="E182" s="37" t="inlineStr">
        <is>
          <t>Confirms the 'Hindi availability' dimension for Grade 11 Hindi.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82" s="37" t="inlineStr">
        <is>
          <t>A student account set to Grade 11 with Hindi available.</t>
        </is>
      </c>
      <c r="G182" s="37" t="inlineStr">
        <is>
          <t>1) For Grade 11 Hindi, confirm Hindi content retrieves under language='hi' where indexed, or returns LANGUAGE_GAP.</t>
        </is>
      </c>
      <c r="H182" s="37" t="inlineStr">
        <is>
          <t>Hindi served where indexed; explicit LANGUAGE_GAP otherwise; never silent English.</t>
        </is>
      </c>
      <c r="I182" s="37" t="inlineStr">
        <is>
          <t>Evidence for Grade 11 Hindi — Hindi availability (screenshot and/or SQL)</t>
        </is>
      </c>
      <c r="J182" s="43" t="inlineStr">
        <is>
          <t>NOT RUN</t>
        </is>
      </c>
      <c r="K182" s="37" t="inlineStr">
        <is>
          <t>Claude (pending env)</t>
        </is>
      </c>
      <c r="L182" s="37" t="n"/>
      <c r="M182" s="37" t="n"/>
      <c r="N182" s="37" t="inlineStr">
        <is>
          <t>[T3 | Phase 3 | Claude (pending env)] parametrized SQL probe via live/staging Supabase. awaiting live/staging Supabase read access + A/B test accounts</t>
        </is>
      </c>
    </row>
    <row r="183" ht="64.15000000000001" customHeight="1" s="29">
      <c r="A183" s="36" t="inlineStr">
        <is>
          <t>MX-CONTENT-0181</t>
        </is>
      </c>
      <c r="B183" s="54" t="inlineStr">
        <is>
          <t>P1</t>
        </is>
      </c>
      <c r="C183" s="36" t="inlineStr">
        <is>
          <t>Content/RAG</t>
        </is>
      </c>
      <c r="D183" s="36" t="inlineStr">
        <is>
          <t>Grade 12 · Maths · Syllabus tree loads</t>
        </is>
      </c>
      <c r="E183" s="36" t="inlineStr">
        <is>
          <t>Confirms the 'Syllabus tree loads' dimension for Grade 12 Maths.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83" s="36" t="inlineStr">
        <is>
          <t>A student account set to Grade 12 with Maths available.</t>
        </is>
      </c>
      <c r="G183" s="36" t="inlineStr">
        <is>
          <t>1) Open the Maths syllabus for Grade 12; confirm every chapter loads and the list matches cbse_syllabus exactly.</t>
        </is>
      </c>
      <c r="H183" s="36" t="inlineStr">
        <is>
          <t>Chapter list loads and matches the canonical taxonomy; no missing/extra/duplicate chapters.</t>
        </is>
      </c>
      <c r="I183" s="36" t="inlineStr">
        <is>
          <t>Evidence for Grade 12 Maths — Syllabus tree loads (screenshot and/or SQL)</t>
        </is>
      </c>
      <c r="J183" s="41" t="inlineStr">
        <is>
          <t>NOT RUN</t>
        </is>
      </c>
      <c r="K183" s="36" t="inlineStr">
        <is>
          <t>Claude (pending env)</t>
        </is>
      </c>
      <c r="L183" s="36" t="n"/>
      <c r="M183" s="36" t="n"/>
      <c r="N183" s="36" t="inlineStr">
        <is>
          <t>[T4 | Phase 4 | Claude (pending env)] Playwright/authenticated-API against running env. awaiting running staging URL + test accounts</t>
        </is>
      </c>
    </row>
    <row r="184" ht="64.15000000000001" customHeight="1" s="29">
      <c r="A184" s="37" t="inlineStr">
        <is>
          <t>MX-CONTENT-0182</t>
        </is>
      </c>
      <c r="B184" s="54" t="inlineStr">
        <is>
          <t>P1</t>
        </is>
      </c>
      <c r="C184" s="37" t="inlineStr">
        <is>
          <t>Content/RAG</t>
        </is>
      </c>
      <c r="D184" s="37" t="inlineStr">
        <is>
          <t>Grade 12 · Maths · Foxy in-syllabus grounding</t>
        </is>
      </c>
      <c r="E184" s="37" t="inlineStr">
        <is>
          <t>Confirms the 'Foxy in-syllabus grounding' dimension for Grade 12 Maths.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84" s="37" t="inlineStr">
        <is>
          <t>A student account set to Grade 12 with Maths available.</t>
        </is>
      </c>
      <c r="G184" s="37" t="inlineStr">
        <is>
          <t>1) Ask Foxy an in-syllabus Maths question for Grade 12; confirm a grounded, cited answer from NCERT chunks.</t>
        </is>
      </c>
      <c r="H184" s="37" t="inlineStr">
        <is>
          <t>Answer is correct, on-syllabus, cited; grounded_ai_traces written.</t>
        </is>
      </c>
      <c r="I184" s="37" t="inlineStr">
        <is>
          <t>Evidence for Grade 12 Maths — Foxy in-syllabus grounding (screenshot and/or SQL)</t>
        </is>
      </c>
      <c r="J184" s="43" t="inlineStr">
        <is>
          <t>NOT RUN</t>
        </is>
      </c>
      <c r="K184" s="37" t="inlineStr">
        <is>
          <t>Claude (pending env)</t>
        </is>
      </c>
      <c r="L184" s="37" t="n"/>
      <c r="M184" s="37" t="n"/>
      <c r="N184" s="37" t="inlineStr">
        <is>
          <t>[T4 | Phase 4 | Claude (pending env)] Playwright/authenticated-API against running env. awaiting running staging URL + test accounts</t>
        </is>
      </c>
    </row>
    <row r="185" ht="64.15000000000001" customHeight="1" s="29">
      <c r="A185" s="36" t="inlineStr">
        <is>
          <t>MX-CONTENT-0183</t>
        </is>
      </c>
      <c r="B185" s="54" t="inlineStr">
        <is>
          <t>P1</t>
        </is>
      </c>
      <c r="C185" s="36" t="inlineStr">
        <is>
          <t>Content/RAG</t>
        </is>
      </c>
      <c r="D185" s="36" t="inlineStr">
        <is>
          <t>Grade 12 · Maths · Foxy out-of-syllabus refusal</t>
        </is>
      </c>
      <c r="E185" s="36" t="inlineStr">
        <is>
          <t>Confirms the 'Foxy out-of-syllabus refusal' dimension for Grade 12 Maths.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85" s="36" t="inlineStr">
        <is>
          <t>A student account set to Grade 12 with Maths available.</t>
        </is>
      </c>
      <c r="G185" s="36" t="inlineStr">
        <is>
          <t>1) Ask Foxy an out-of-syllabus Maths question for Grade 12; confirm CURRICULUM_GAP, not a fabricated answer.</t>
        </is>
      </c>
      <c r="H185" s="36" t="inlineStr">
        <is>
          <t>Structured CURRICULUM_GAP returned; content_gaps logged; no hallucination.</t>
        </is>
      </c>
      <c r="I185" s="36" t="inlineStr">
        <is>
          <t>Evidence for Grade 12 Maths — Foxy out-of-syllabus refusal (screenshot and/or SQL)</t>
        </is>
      </c>
      <c r="J185" s="41" t="inlineStr">
        <is>
          <t>NOT RUN</t>
        </is>
      </c>
      <c r="K185" s="36" t="inlineStr">
        <is>
          <t>Claude (pending env)</t>
        </is>
      </c>
      <c r="L185" s="36" t="n"/>
      <c r="M185" s="36" t="n"/>
      <c r="N185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86" ht="64.15000000000001" customHeight="1" s="29">
      <c r="A186" s="37" t="inlineStr">
        <is>
          <t>MX-CONTENT-0184</t>
        </is>
      </c>
      <c r="B186" s="54" t="inlineStr">
        <is>
          <t>P1</t>
        </is>
      </c>
      <c r="C186" s="37" t="inlineStr">
        <is>
          <t>Content/RAG</t>
        </is>
      </c>
      <c r="D186" s="37" t="inlineStr">
        <is>
          <t>Grade 12 · Maths · Quiz generation (verified-only)</t>
        </is>
      </c>
      <c r="E186" s="37" t="inlineStr">
        <is>
          <t>Confirms the 'Quiz generation (verified-only)' dimension for Grade 12 Maths.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86" s="37" t="inlineStr">
        <is>
          <t>A student account set to Grade 12 with Maths available.</t>
        </is>
      </c>
      <c r="G186" s="37" t="inlineStr">
        <is>
          <t>1) Generate/take a Maths quiz for Grade 12; collect served ids and confirm all are verification_state='verified'.</t>
        </is>
      </c>
      <c r="H186" s="37" t="inlineStr">
        <is>
          <t>Quiz generates; 100% of served questions are verified; none unverified.</t>
        </is>
      </c>
      <c r="I186" s="37" t="inlineStr">
        <is>
          <t>Evidence for Grade 12 Maths — Quiz generation (verified-only) (screenshot and/or SQL)</t>
        </is>
      </c>
      <c r="J186" s="43" t="inlineStr">
        <is>
          <t>NOT RUN</t>
        </is>
      </c>
      <c r="K186" s="37" t="inlineStr">
        <is>
          <t>Claude (pending env)</t>
        </is>
      </c>
      <c r="L186" s="37" t="n"/>
      <c r="M186" s="37" t="n"/>
      <c r="N186" s="37" t="inlineStr">
        <is>
          <t>[T4 | Phase 4 | Claude (pending env)] Playwright/authenticated-API against running env. awaiting running staging URL + test accounts</t>
        </is>
      </c>
    </row>
    <row r="187" ht="64.15000000000001" customHeight="1" s="29">
      <c r="A187" s="36" t="inlineStr">
        <is>
          <t>MX-CONTENT-0185</t>
        </is>
      </c>
      <c r="B187" s="55" t="inlineStr">
        <is>
          <t>P2</t>
        </is>
      </c>
      <c r="C187" s="36" t="inlineStr">
        <is>
          <t>Content/RAG</t>
        </is>
      </c>
      <c r="D187" s="36" t="inlineStr">
        <is>
          <t>Grade 12 · Maths · Readiness honesty</t>
        </is>
      </c>
      <c r="E187" s="36" t="inlineStr">
        <is>
          <t>Confirms the 'Readiness honesty' dimension for Grade 12 Maths.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87" s="36" t="inlineStr">
        <is>
          <t>A student account set to Grade 12 with Maths available.</t>
        </is>
      </c>
      <c r="G187" s="36" t="inlineStr">
        <is>
          <t>1) For one Grade 12 Maths chapter, compare cbse_syllabus rag_status/chunk_count/verified count to the actual indexed rows.</t>
        </is>
      </c>
      <c r="H187" s="36" t="inlineStr">
        <is>
          <t>Stored readiness matches reality for the sampled chapter.</t>
        </is>
      </c>
      <c r="I187" s="36" t="inlineStr">
        <is>
          <t>Evidence for Grade 12 Maths — Readiness honesty (screenshot and/or SQL)</t>
        </is>
      </c>
      <c r="J187" s="41" t="inlineStr">
        <is>
          <t>NOT RUN</t>
        </is>
      </c>
      <c r="K187" s="36" t="inlineStr">
        <is>
          <t>Claude (pending env)</t>
        </is>
      </c>
      <c r="L187" s="36" t="n"/>
      <c r="M187" s="36" t="n"/>
      <c r="N187" s="36" t="inlineStr">
        <is>
          <t>[T3 | Phase 3 | Claude (pending env)] parametrized SQL probe via live/staging Supabase. awaiting live/staging Supabase read access + A/B test accounts</t>
        </is>
      </c>
    </row>
    <row r="188" ht="64.15000000000001" customHeight="1" s="29">
      <c r="A188" s="37" t="inlineStr">
        <is>
          <t>MX-CONTENT-0186</t>
        </is>
      </c>
      <c r="B188" s="55" t="inlineStr">
        <is>
          <t>P2</t>
        </is>
      </c>
      <c r="C188" s="37" t="inlineStr">
        <is>
          <t>Content/RAG</t>
        </is>
      </c>
      <c r="D188" s="37" t="inlineStr">
        <is>
          <t>Grade 12 · Maths · Hindi availability</t>
        </is>
      </c>
      <c r="E188" s="37" t="inlineStr">
        <is>
          <t>Confirms the 'Hindi availability' dimension for Grade 12 Maths.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88" s="37" t="inlineStr">
        <is>
          <t>A student account set to Grade 12 with Maths available.</t>
        </is>
      </c>
      <c r="G188" s="37" t="inlineStr">
        <is>
          <t>1) For Grade 12 Maths, confirm Hindi content retrieves under language='hi' where indexed, or returns LANGUAGE_GAP.</t>
        </is>
      </c>
      <c r="H188" s="37" t="inlineStr">
        <is>
          <t>Hindi served where indexed; explicit LANGUAGE_GAP otherwise; never silent English.</t>
        </is>
      </c>
      <c r="I188" s="37" t="inlineStr">
        <is>
          <t>Evidence for Grade 12 Maths — Hindi availability (screenshot and/or SQL)</t>
        </is>
      </c>
      <c r="J188" s="43" t="inlineStr">
        <is>
          <t>NOT RUN</t>
        </is>
      </c>
      <c r="K188" s="37" t="inlineStr">
        <is>
          <t>Claude (pending env)</t>
        </is>
      </c>
      <c r="L188" s="37" t="n"/>
      <c r="M188" s="37" t="n"/>
      <c r="N188" s="37" t="inlineStr">
        <is>
          <t>[T3 | Phase 3 | Claude (pending env)] parametrized SQL probe via live/staging Supabase. awaiting live/staging Supabase read access + A/B test accounts</t>
        </is>
      </c>
    </row>
    <row r="189" ht="64.15000000000001" customHeight="1" s="29">
      <c r="A189" s="36" t="inlineStr">
        <is>
          <t>MX-CONTENT-0187</t>
        </is>
      </c>
      <c r="B189" s="54" t="inlineStr">
        <is>
          <t>P1</t>
        </is>
      </c>
      <c r="C189" s="36" t="inlineStr">
        <is>
          <t>Content/RAG</t>
        </is>
      </c>
      <c r="D189" s="36" t="inlineStr">
        <is>
          <t>Grade 12 · Science · Syllabus tree loads</t>
        </is>
      </c>
      <c r="E189" s="36" t="inlineStr">
        <is>
          <t>Confirms the 'Syllabus tree loads' dimension for Grade 12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89" s="36" t="inlineStr">
        <is>
          <t>A student account set to Grade 12 with Science available.</t>
        </is>
      </c>
      <c r="G189" s="36" t="inlineStr">
        <is>
          <t>1) Open the Science syllabus for Grade 12; confirm every chapter loads and the list matches cbse_syllabus exactly.</t>
        </is>
      </c>
      <c r="H189" s="36" t="inlineStr">
        <is>
          <t>Chapter list loads and matches the canonical taxonomy; no missing/extra/duplicate chapters.</t>
        </is>
      </c>
      <c r="I189" s="36" t="inlineStr">
        <is>
          <t>Evidence for Grade 12 Science — Syllabus tree loads (screenshot and/or SQL)</t>
        </is>
      </c>
      <c r="J189" s="41" t="inlineStr">
        <is>
          <t>NOT RUN</t>
        </is>
      </c>
      <c r="K189" s="36" t="inlineStr">
        <is>
          <t>Claude (pending env)</t>
        </is>
      </c>
      <c r="L189" s="36" t="n"/>
      <c r="M189" s="36" t="n"/>
      <c r="N189" s="36" t="inlineStr">
        <is>
          <t>[T4 | Phase 4 | Claude (pending env)] Playwright/authenticated-API against running env. awaiting running staging URL + test accounts</t>
        </is>
      </c>
    </row>
    <row r="190" ht="64.15000000000001" customHeight="1" s="29">
      <c r="A190" s="37" t="inlineStr">
        <is>
          <t>MX-CONTENT-0188</t>
        </is>
      </c>
      <c r="B190" s="54" t="inlineStr">
        <is>
          <t>P1</t>
        </is>
      </c>
      <c r="C190" s="37" t="inlineStr">
        <is>
          <t>Content/RAG</t>
        </is>
      </c>
      <c r="D190" s="37" t="inlineStr">
        <is>
          <t>Grade 12 · Science · Foxy in-syllabus grounding</t>
        </is>
      </c>
      <c r="E190" s="37" t="inlineStr">
        <is>
          <t>Confirms the 'Foxy in-syllabus grounding' dimension for Grade 12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90" s="37" t="inlineStr">
        <is>
          <t>A student account set to Grade 12 with Science available.</t>
        </is>
      </c>
      <c r="G190" s="37" t="inlineStr">
        <is>
          <t>1) Ask Foxy an in-syllabus Science question for Grade 12; confirm a grounded, cited answer from NCERT chunks.</t>
        </is>
      </c>
      <c r="H190" s="37" t="inlineStr">
        <is>
          <t>Answer is correct, on-syllabus, cited; grounded_ai_traces written.</t>
        </is>
      </c>
      <c r="I190" s="37" t="inlineStr">
        <is>
          <t>Evidence for Grade 12 Science — Foxy in-syllabus grounding (screenshot and/or SQL)</t>
        </is>
      </c>
      <c r="J190" s="43" t="inlineStr">
        <is>
          <t>NOT RUN</t>
        </is>
      </c>
      <c r="K190" s="37" t="inlineStr">
        <is>
          <t>Claude (pending env)</t>
        </is>
      </c>
      <c r="L190" s="37" t="n"/>
      <c r="M190" s="37" t="n"/>
      <c r="N190" s="37" t="inlineStr">
        <is>
          <t>[T4 | Phase 4 | Claude (pending env)] Playwright/authenticated-API against running env. awaiting running staging URL + test accounts</t>
        </is>
      </c>
    </row>
    <row r="191" ht="64.15000000000001" customHeight="1" s="29">
      <c r="A191" s="36" t="inlineStr">
        <is>
          <t>MX-CONTENT-0189</t>
        </is>
      </c>
      <c r="B191" s="54" t="inlineStr">
        <is>
          <t>P1</t>
        </is>
      </c>
      <c r="C191" s="36" t="inlineStr">
        <is>
          <t>Content/RAG</t>
        </is>
      </c>
      <c r="D191" s="36" t="inlineStr">
        <is>
          <t>Grade 12 · Science · Foxy out-of-syllabus refusal</t>
        </is>
      </c>
      <c r="E191" s="36" t="inlineStr">
        <is>
          <t>Confirms the 'Foxy out-of-syllabus refusal' dimension for Grade 12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91" s="36" t="inlineStr">
        <is>
          <t>A student account set to Grade 12 with Science available.</t>
        </is>
      </c>
      <c r="G191" s="36" t="inlineStr">
        <is>
          <t>1) Ask Foxy an out-of-syllabus Science question for Grade 12; confirm CURRICULUM_GAP, not a fabricated answer.</t>
        </is>
      </c>
      <c r="H191" s="36" t="inlineStr">
        <is>
          <t>Structured CURRICULUM_GAP returned; content_gaps logged; no hallucination.</t>
        </is>
      </c>
      <c r="I191" s="36" t="inlineStr">
        <is>
          <t>Evidence for Grade 12 Science — Foxy out-of-syllabus refusal (screenshot and/or SQL)</t>
        </is>
      </c>
      <c r="J191" s="41" t="inlineStr">
        <is>
          <t>NOT RUN</t>
        </is>
      </c>
      <c r="K191" s="36" t="inlineStr">
        <is>
          <t>Claude (pending env)</t>
        </is>
      </c>
      <c r="L191" s="36" t="n"/>
      <c r="M191" s="36" t="n"/>
      <c r="N191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92" ht="64.15000000000001" customHeight="1" s="29">
      <c r="A192" s="37" t="inlineStr">
        <is>
          <t>MX-CONTENT-0190</t>
        </is>
      </c>
      <c r="B192" s="54" t="inlineStr">
        <is>
          <t>P1</t>
        </is>
      </c>
      <c r="C192" s="37" t="inlineStr">
        <is>
          <t>Content/RAG</t>
        </is>
      </c>
      <c r="D192" s="37" t="inlineStr">
        <is>
          <t>Grade 12 · Science · Quiz generation (verified-only)</t>
        </is>
      </c>
      <c r="E192" s="37" t="inlineStr">
        <is>
          <t>Confirms the 'Quiz generation (verified-only)' dimension for Grade 12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92" s="37" t="inlineStr">
        <is>
          <t>A student account set to Grade 12 with Science available.</t>
        </is>
      </c>
      <c r="G192" s="37" t="inlineStr">
        <is>
          <t>1) Generate/take a Science quiz for Grade 12; collect served ids and confirm all are verification_state='verified'.</t>
        </is>
      </c>
      <c r="H192" s="37" t="inlineStr">
        <is>
          <t>Quiz generates; 100% of served questions are verified; none unverified.</t>
        </is>
      </c>
      <c r="I192" s="37" t="inlineStr">
        <is>
          <t>Evidence for Grade 12 Science — Quiz generation (verified-only) (screenshot and/or SQL)</t>
        </is>
      </c>
      <c r="J192" s="43" t="inlineStr">
        <is>
          <t>NOT RUN</t>
        </is>
      </c>
      <c r="K192" s="37" t="inlineStr">
        <is>
          <t>Claude (pending env)</t>
        </is>
      </c>
      <c r="L192" s="37" t="n"/>
      <c r="M192" s="37" t="n"/>
      <c r="N192" s="37" t="inlineStr">
        <is>
          <t>[T4 | Phase 4 | Claude (pending env)] Playwright/authenticated-API against running env. awaiting running staging URL + test accounts</t>
        </is>
      </c>
    </row>
    <row r="193" ht="64.15000000000001" customHeight="1" s="29">
      <c r="A193" s="36" t="inlineStr">
        <is>
          <t>MX-CONTENT-0191</t>
        </is>
      </c>
      <c r="B193" s="55" t="inlineStr">
        <is>
          <t>P2</t>
        </is>
      </c>
      <c r="C193" s="36" t="inlineStr">
        <is>
          <t>Content/RAG</t>
        </is>
      </c>
      <c r="D193" s="36" t="inlineStr">
        <is>
          <t>Grade 12 · Science · Readiness honesty</t>
        </is>
      </c>
      <c r="E193" s="36" t="inlineStr">
        <is>
          <t>Confirms the 'Readiness honesty' dimension for Grade 12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93" s="36" t="inlineStr">
        <is>
          <t>A student account set to Grade 12 with Science available.</t>
        </is>
      </c>
      <c r="G193" s="36" t="inlineStr">
        <is>
          <t>1) For one Grade 12 Science chapter, compare cbse_syllabus rag_status/chunk_count/verified count to the actual indexed rows.</t>
        </is>
      </c>
      <c r="H193" s="36" t="inlineStr">
        <is>
          <t>Stored readiness matches reality for the sampled chapter.</t>
        </is>
      </c>
      <c r="I193" s="36" t="inlineStr">
        <is>
          <t>Evidence for Grade 12 Science — Readiness honesty (screenshot and/or SQL)</t>
        </is>
      </c>
      <c r="J193" s="41" t="inlineStr">
        <is>
          <t>NOT RUN</t>
        </is>
      </c>
      <c r="K193" s="36" t="inlineStr">
        <is>
          <t>Claude (pending env)</t>
        </is>
      </c>
      <c r="L193" s="36" t="n"/>
      <c r="M193" s="36" t="n"/>
      <c r="N193" s="36" t="inlineStr">
        <is>
          <t>[T3 | Phase 3 | Claude (pending env)] parametrized SQL probe via live/staging Supabase. awaiting live/staging Supabase read access + A/B test accounts</t>
        </is>
      </c>
    </row>
    <row r="194" ht="64.15000000000001" customHeight="1" s="29">
      <c r="A194" s="37" t="inlineStr">
        <is>
          <t>MX-CONTENT-0192</t>
        </is>
      </c>
      <c r="B194" s="55" t="inlineStr">
        <is>
          <t>P2</t>
        </is>
      </c>
      <c r="C194" s="37" t="inlineStr">
        <is>
          <t>Content/RAG</t>
        </is>
      </c>
      <c r="D194" s="37" t="inlineStr">
        <is>
          <t>Grade 12 · Science · Hindi availability</t>
        </is>
      </c>
      <c r="E194" s="37" t="inlineStr">
        <is>
          <t>Confirms the 'Hindi availability' dimension for Grade 12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94" s="37" t="inlineStr">
        <is>
          <t>A student account set to Grade 12 with Science available.</t>
        </is>
      </c>
      <c r="G194" s="37" t="inlineStr">
        <is>
          <t>1) For Grade 12 Science, confirm Hindi content retrieves under language='hi' where indexed, or returns LANGUAGE_GAP.</t>
        </is>
      </c>
      <c r="H194" s="37" t="inlineStr">
        <is>
          <t>Hindi served where indexed; explicit LANGUAGE_GAP otherwise; never silent English.</t>
        </is>
      </c>
      <c r="I194" s="37" t="inlineStr">
        <is>
          <t>Evidence for Grade 12 Science — Hindi availability (screenshot and/or SQL)</t>
        </is>
      </c>
      <c r="J194" s="43" t="inlineStr">
        <is>
          <t>NOT RUN</t>
        </is>
      </c>
      <c r="K194" s="37" t="inlineStr">
        <is>
          <t>Claude (pending env)</t>
        </is>
      </c>
      <c r="L194" s="37" t="n"/>
      <c r="M194" s="37" t="n"/>
      <c r="N194" s="37" t="inlineStr">
        <is>
          <t>[T3 | Phase 3 | Claude (pending env)] parametrized SQL probe via live/staging Supabase. awaiting live/staging Supabase read access + A/B test accounts</t>
        </is>
      </c>
    </row>
    <row r="195" ht="64.15000000000001" customHeight="1" s="29">
      <c r="A195" s="36" t="inlineStr">
        <is>
          <t>MX-CONTENT-0193</t>
        </is>
      </c>
      <c r="B195" s="54" t="inlineStr">
        <is>
          <t>P1</t>
        </is>
      </c>
      <c r="C195" s="36" t="inlineStr">
        <is>
          <t>Content/RAG</t>
        </is>
      </c>
      <c r="D195" s="36" t="inlineStr">
        <is>
          <t>Grade 12 · Social Science · Syllabus tree loads</t>
        </is>
      </c>
      <c r="E195" s="36" t="inlineStr">
        <is>
          <t>Confirms the 'Syllabus tree loads' dimension for Grade 12 Social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95" s="36" t="inlineStr">
        <is>
          <t>A student account set to Grade 12 with Social Science available.</t>
        </is>
      </c>
      <c r="G195" s="36" t="inlineStr">
        <is>
          <t>1) Open the Social Science syllabus for Grade 12; confirm every chapter loads and the list matches cbse_syllabus exactly.</t>
        </is>
      </c>
      <c r="H195" s="36" t="inlineStr">
        <is>
          <t>Chapter list loads and matches the canonical taxonomy; no missing/extra/duplicate chapters.</t>
        </is>
      </c>
      <c r="I195" s="36" t="inlineStr">
        <is>
          <t>Evidence for Grade 12 Social Science — Syllabus tree loads (screenshot and/or SQL)</t>
        </is>
      </c>
      <c r="J195" s="41" t="inlineStr">
        <is>
          <t>NOT RUN</t>
        </is>
      </c>
      <c r="K195" s="36" t="inlineStr">
        <is>
          <t>Claude (pending env)</t>
        </is>
      </c>
      <c r="L195" s="36" t="n"/>
      <c r="M195" s="36" t="n"/>
      <c r="N195" s="36" t="inlineStr">
        <is>
          <t>[T4 | Phase 4 | Claude (pending env)] Playwright/authenticated-API against running env. awaiting running staging URL + test accounts</t>
        </is>
      </c>
    </row>
    <row r="196" ht="64.15000000000001" customHeight="1" s="29">
      <c r="A196" s="37" t="inlineStr">
        <is>
          <t>MX-CONTENT-0194</t>
        </is>
      </c>
      <c r="B196" s="54" t="inlineStr">
        <is>
          <t>P1</t>
        </is>
      </c>
      <c r="C196" s="37" t="inlineStr">
        <is>
          <t>Content/RAG</t>
        </is>
      </c>
      <c r="D196" s="37" t="inlineStr">
        <is>
          <t>Grade 12 · Social Science · Foxy in-syllabus grounding</t>
        </is>
      </c>
      <c r="E196" s="37" t="inlineStr">
        <is>
          <t>Confirms the 'Foxy in-syllabus grounding' dimension for Grade 12 Social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96" s="37" t="inlineStr">
        <is>
          <t>A student account set to Grade 12 with Social Science available.</t>
        </is>
      </c>
      <c r="G196" s="37" t="inlineStr">
        <is>
          <t>1) Ask Foxy an in-syllabus Social Science question for Grade 12; confirm a grounded, cited answer from NCERT chunks.</t>
        </is>
      </c>
      <c r="H196" s="37" t="inlineStr">
        <is>
          <t>Answer is correct, on-syllabus, cited; grounded_ai_traces written.</t>
        </is>
      </c>
      <c r="I196" s="37" t="inlineStr">
        <is>
          <t>Evidence for Grade 12 Social Science — Foxy in-syllabus grounding (screenshot and/or SQL)</t>
        </is>
      </c>
      <c r="J196" s="43" t="inlineStr">
        <is>
          <t>NOT RUN</t>
        </is>
      </c>
      <c r="K196" s="37" t="inlineStr">
        <is>
          <t>Claude (pending env)</t>
        </is>
      </c>
      <c r="L196" s="37" t="n"/>
      <c r="M196" s="37" t="n"/>
      <c r="N196" s="37" t="inlineStr">
        <is>
          <t>[T4 | Phase 4 | Claude (pending env)] Playwright/authenticated-API against running env. awaiting running staging URL + test accounts</t>
        </is>
      </c>
    </row>
    <row r="197" ht="64.15000000000001" customHeight="1" s="29">
      <c r="A197" s="36" t="inlineStr">
        <is>
          <t>MX-CONTENT-0195</t>
        </is>
      </c>
      <c r="B197" s="54" t="inlineStr">
        <is>
          <t>P1</t>
        </is>
      </c>
      <c r="C197" s="36" t="inlineStr">
        <is>
          <t>Content/RAG</t>
        </is>
      </c>
      <c r="D197" s="36" t="inlineStr">
        <is>
          <t>Grade 12 · Social Science · Foxy out-of-syllabus refusal</t>
        </is>
      </c>
      <c r="E197" s="36" t="inlineStr">
        <is>
          <t>Confirms the 'Foxy out-of-syllabus refusal' dimension for Grade 12 Social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97" s="36" t="inlineStr">
        <is>
          <t>A student account set to Grade 12 with Social Science available.</t>
        </is>
      </c>
      <c r="G197" s="36" t="inlineStr">
        <is>
          <t>1) Ask Foxy an out-of-syllabus Social Science question for Grade 12; confirm CURRICULUM_GAP, not a fabricated answer.</t>
        </is>
      </c>
      <c r="H197" s="36" t="inlineStr">
        <is>
          <t>Structured CURRICULUM_GAP returned; content_gaps logged; no hallucination.</t>
        </is>
      </c>
      <c r="I197" s="36" t="inlineStr">
        <is>
          <t>Evidence for Grade 12 Social Science — Foxy out-of-syllabus refusal (screenshot and/or SQL)</t>
        </is>
      </c>
      <c r="J197" s="41" t="inlineStr">
        <is>
          <t>NOT RUN</t>
        </is>
      </c>
      <c r="K197" s="36" t="inlineStr">
        <is>
          <t>Claude (pending env)</t>
        </is>
      </c>
      <c r="L197" s="36" t="n"/>
      <c r="M197" s="36" t="n"/>
      <c r="N197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198" ht="64.15000000000001" customHeight="1" s="29">
      <c r="A198" s="37" t="inlineStr">
        <is>
          <t>MX-CONTENT-0196</t>
        </is>
      </c>
      <c r="B198" s="54" t="inlineStr">
        <is>
          <t>P1</t>
        </is>
      </c>
      <c r="C198" s="37" t="inlineStr">
        <is>
          <t>Content/RAG</t>
        </is>
      </c>
      <c r="D198" s="37" t="inlineStr">
        <is>
          <t>Grade 12 · Social Science · Quiz generation (verified-only)</t>
        </is>
      </c>
      <c r="E198" s="37" t="inlineStr">
        <is>
          <t>Confirms the 'Quiz generation (verified-only)' dimension for Grade 12 Social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98" s="37" t="inlineStr">
        <is>
          <t>A student account set to Grade 12 with Social Science available.</t>
        </is>
      </c>
      <c r="G198" s="37" t="inlineStr">
        <is>
          <t>1) Generate/take a Social Science quiz for Grade 12; collect served ids and confirm all are verification_state='verified'.</t>
        </is>
      </c>
      <c r="H198" s="37" t="inlineStr">
        <is>
          <t>Quiz generates; 100% of served questions are verified; none unverified.</t>
        </is>
      </c>
      <c r="I198" s="37" t="inlineStr">
        <is>
          <t>Evidence for Grade 12 Social Science — Quiz generation (verified-only) (screenshot and/or SQL)</t>
        </is>
      </c>
      <c r="J198" s="43" t="inlineStr">
        <is>
          <t>NOT RUN</t>
        </is>
      </c>
      <c r="K198" s="37" t="inlineStr">
        <is>
          <t>Claude (pending env)</t>
        </is>
      </c>
      <c r="L198" s="37" t="n"/>
      <c r="M198" s="37" t="n"/>
      <c r="N198" s="37" t="inlineStr">
        <is>
          <t>[T4 | Phase 4 | Claude (pending env)] Playwright/authenticated-API against running env. awaiting running staging URL + test accounts</t>
        </is>
      </c>
    </row>
    <row r="199" ht="64.15000000000001" customHeight="1" s="29">
      <c r="A199" s="36" t="inlineStr">
        <is>
          <t>MX-CONTENT-0197</t>
        </is>
      </c>
      <c r="B199" s="55" t="inlineStr">
        <is>
          <t>P2</t>
        </is>
      </c>
      <c r="C199" s="36" t="inlineStr">
        <is>
          <t>Content/RAG</t>
        </is>
      </c>
      <c r="D199" s="36" t="inlineStr">
        <is>
          <t>Grade 12 · Social Science · Readiness honesty</t>
        </is>
      </c>
      <c r="E199" s="36" t="inlineStr">
        <is>
          <t>Confirms the 'Readiness honesty' dimension for Grade 12 Social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199" s="36" t="inlineStr">
        <is>
          <t>A student account set to Grade 12 with Social Science available.</t>
        </is>
      </c>
      <c r="G199" s="36" t="inlineStr">
        <is>
          <t>1) For one Grade 12 Social Science chapter, compare cbse_syllabus rag_status/chunk_count/verified count to the actual indexed rows.</t>
        </is>
      </c>
      <c r="H199" s="36" t="inlineStr">
        <is>
          <t>Stored readiness matches reality for the sampled chapter.</t>
        </is>
      </c>
      <c r="I199" s="36" t="inlineStr">
        <is>
          <t>Evidence for Grade 12 Social Science — Readiness honesty (screenshot and/or SQL)</t>
        </is>
      </c>
      <c r="J199" s="41" t="inlineStr">
        <is>
          <t>NOT RUN</t>
        </is>
      </c>
      <c r="K199" s="36" t="inlineStr">
        <is>
          <t>Claude (pending env)</t>
        </is>
      </c>
      <c r="L199" s="36" t="n"/>
      <c r="M199" s="36" t="n"/>
      <c r="N199" s="36" t="inlineStr">
        <is>
          <t>[T3 | Phase 3 | Claude (pending env)] parametrized SQL probe via live/staging Supabase. awaiting live/staging Supabase read access + A/B test accounts</t>
        </is>
      </c>
    </row>
    <row r="200" ht="64.15000000000001" customHeight="1" s="29">
      <c r="A200" s="37" t="inlineStr">
        <is>
          <t>MX-CONTENT-0198</t>
        </is>
      </c>
      <c r="B200" s="55" t="inlineStr">
        <is>
          <t>P2</t>
        </is>
      </c>
      <c r="C200" s="37" t="inlineStr">
        <is>
          <t>Content/RAG</t>
        </is>
      </c>
      <c r="D200" s="37" t="inlineStr">
        <is>
          <t>Grade 12 · Social Science · Hindi availability</t>
        </is>
      </c>
      <c r="E200" s="37" t="inlineStr">
        <is>
          <t>Confirms the 'Hindi availability' dimension for Grade 12 Social Science.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200" s="37" t="inlineStr">
        <is>
          <t>A student account set to Grade 12 with Social Science available.</t>
        </is>
      </c>
      <c r="G200" s="37" t="inlineStr">
        <is>
          <t>1) For Grade 12 Social Science, confirm Hindi content retrieves under language='hi' where indexed, or returns LANGUAGE_GAP.</t>
        </is>
      </c>
      <c r="H200" s="37" t="inlineStr">
        <is>
          <t>Hindi served where indexed; explicit LANGUAGE_GAP otherwise; never silent English.</t>
        </is>
      </c>
      <c r="I200" s="37" t="inlineStr">
        <is>
          <t>Evidence for Grade 12 Social Science — Hindi availability (screenshot and/or SQL)</t>
        </is>
      </c>
      <c r="J200" s="43" t="inlineStr">
        <is>
          <t>NOT RUN</t>
        </is>
      </c>
      <c r="K200" s="37" t="inlineStr">
        <is>
          <t>Claude (pending env)</t>
        </is>
      </c>
      <c r="L200" s="37" t="n"/>
      <c r="M200" s="37" t="n"/>
      <c r="N200" s="37" t="inlineStr">
        <is>
          <t>[T3 | Phase 3 | Claude (pending env)] parametrized SQL probe via live/staging Supabase. awaiting live/staging Supabase read access + A/B test accounts</t>
        </is>
      </c>
    </row>
    <row r="201" ht="64.15000000000001" customHeight="1" s="29">
      <c r="A201" s="36" t="inlineStr">
        <is>
          <t>MX-CONTENT-0199</t>
        </is>
      </c>
      <c r="B201" s="54" t="inlineStr">
        <is>
          <t>P1</t>
        </is>
      </c>
      <c r="C201" s="36" t="inlineStr">
        <is>
          <t>Content/RAG</t>
        </is>
      </c>
      <c r="D201" s="36" t="inlineStr">
        <is>
          <t>Grade 12 · English · Syllabus tree loads</t>
        </is>
      </c>
      <c r="E201" s="36" t="inlineStr">
        <is>
          <t>Confirms the 'Syllabus tree loads' dimension for Grade 12 English.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201" s="36" t="inlineStr">
        <is>
          <t>A student account set to Grade 12 with English available.</t>
        </is>
      </c>
      <c r="G201" s="36" t="inlineStr">
        <is>
          <t>1) Open the English syllabus for Grade 12; confirm every chapter loads and the list matches cbse_syllabus exactly.</t>
        </is>
      </c>
      <c r="H201" s="36" t="inlineStr">
        <is>
          <t>Chapter list loads and matches the canonical taxonomy; no missing/extra/duplicate chapters.</t>
        </is>
      </c>
      <c r="I201" s="36" t="inlineStr">
        <is>
          <t>Evidence for Grade 12 English — Syllabus tree loads (screenshot and/or SQL)</t>
        </is>
      </c>
      <c r="J201" s="41" t="inlineStr">
        <is>
          <t>NOT RUN</t>
        </is>
      </c>
      <c r="K201" s="36" t="inlineStr">
        <is>
          <t>Claude (pending env)</t>
        </is>
      </c>
      <c r="L201" s="36" t="n"/>
      <c r="M201" s="36" t="n"/>
      <c r="N201" s="36" t="inlineStr">
        <is>
          <t>[T4 | Phase 4 | Claude (pending env)] Playwright/authenticated-API against running env. awaiting running staging URL + test accounts</t>
        </is>
      </c>
    </row>
    <row r="202" ht="64.15000000000001" customHeight="1" s="29">
      <c r="A202" s="37" t="inlineStr">
        <is>
          <t>MX-CONTENT-0200</t>
        </is>
      </c>
      <c r="B202" s="54" t="inlineStr">
        <is>
          <t>P1</t>
        </is>
      </c>
      <c r="C202" s="37" t="inlineStr">
        <is>
          <t>Content/RAG</t>
        </is>
      </c>
      <c r="D202" s="37" t="inlineStr">
        <is>
          <t>Grade 12 · English · Foxy in-syllabus grounding</t>
        </is>
      </c>
      <c r="E202" s="37" t="inlineStr">
        <is>
          <t>Confirms the 'Foxy in-syllabus grounding' dimension for Grade 12 English.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202" s="37" t="inlineStr">
        <is>
          <t>A student account set to Grade 12 with English available.</t>
        </is>
      </c>
      <c r="G202" s="37" t="inlineStr">
        <is>
          <t>1) Ask Foxy an in-syllabus English question for Grade 12; confirm a grounded, cited answer from NCERT chunks.</t>
        </is>
      </c>
      <c r="H202" s="37" t="inlineStr">
        <is>
          <t>Answer is correct, on-syllabus, cited; grounded_ai_traces written.</t>
        </is>
      </c>
      <c r="I202" s="37" t="inlineStr">
        <is>
          <t>Evidence for Grade 12 English — Foxy in-syllabus grounding (screenshot and/or SQL)</t>
        </is>
      </c>
      <c r="J202" s="43" t="inlineStr">
        <is>
          <t>NOT RUN</t>
        </is>
      </c>
      <c r="K202" s="37" t="inlineStr">
        <is>
          <t>Claude (pending env)</t>
        </is>
      </c>
      <c r="L202" s="37" t="n"/>
      <c r="M202" s="37" t="n"/>
      <c r="N202" s="37" t="inlineStr">
        <is>
          <t>[T4 | Phase 4 | Claude (pending env)] Playwright/authenticated-API against running env. awaiting running staging URL + test accounts</t>
        </is>
      </c>
    </row>
    <row r="203" ht="64.15000000000001" customHeight="1" s="29">
      <c r="A203" s="36" t="inlineStr">
        <is>
          <t>MX-CONTENT-0201</t>
        </is>
      </c>
      <c r="B203" s="54" t="inlineStr">
        <is>
          <t>P1</t>
        </is>
      </c>
      <c r="C203" s="36" t="inlineStr">
        <is>
          <t>Content/RAG</t>
        </is>
      </c>
      <c r="D203" s="36" t="inlineStr">
        <is>
          <t>Grade 12 · English · Foxy out-of-syllabus refusal</t>
        </is>
      </c>
      <c r="E203" s="36" t="inlineStr">
        <is>
          <t>Confirms the 'Foxy out-of-syllabus refusal' dimension for Grade 12 English.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203" s="36" t="inlineStr">
        <is>
          <t>A student account set to Grade 12 with English available.</t>
        </is>
      </c>
      <c r="G203" s="36" t="inlineStr">
        <is>
          <t>1) Ask Foxy an out-of-syllabus English question for Grade 12; confirm CURRICULUM_GAP, not a fabricated answer.</t>
        </is>
      </c>
      <c r="H203" s="36" t="inlineStr">
        <is>
          <t>Structured CURRICULUM_GAP returned; content_gaps logged; no hallucination.</t>
        </is>
      </c>
      <c r="I203" s="36" t="inlineStr">
        <is>
          <t>Evidence for Grade 12 English — Foxy out-of-syllabus refusal (screenshot and/or SQL)</t>
        </is>
      </c>
      <c r="J203" s="41" t="inlineStr">
        <is>
          <t>NOT RUN</t>
        </is>
      </c>
      <c r="K203" s="36" t="inlineStr">
        <is>
          <t>Claude (pending env)</t>
        </is>
      </c>
      <c r="L203" s="36" t="n"/>
      <c r="M203" s="36" t="n"/>
      <c r="N203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204" ht="64.15000000000001" customHeight="1" s="29">
      <c r="A204" s="37" t="inlineStr">
        <is>
          <t>MX-CONTENT-0202</t>
        </is>
      </c>
      <c r="B204" s="54" t="inlineStr">
        <is>
          <t>P1</t>
        </is>
      </c>
      <c r="C204" s="37" t="inlineStr">
        <is>
          <t>Content/RAG</t>
        </is>
      </c>
      <c r="D204" s="37" t="inlineStr">
        <is>
          <t>Grade 12 · English · Quiz generation (verified-only)</t>
        </is>
      </c>
      <c r="E204" s="37" t="inlineStr">
        <is>
          <t>Confirms the 'Quiz generation (verified-only)' dimension for Grade 12 English.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204" s="37" t="inlineStr">
        <is>
          <t>A student account set to Grade 12 with English available.</t>
        </is>
      </c>
      <c r="G204" s="37" t="inlineStr">
        <is>
          <t>1) Generate/take a English quiz for Grade 12; collect served ids and confirm all are verification_state='verified'.</t>
        </is>
      </c>
      <c r="H204" s="37" t="inlineStr">
        <is>
          <t>Quiz generates; 100% of served questions are verified; none unverified.</t>
        </is>
      </c>
      <c r="I204" s="37" t="inlineStr">
        <is>
          <t>Evidence for Grade 12 English — Quiz generation (verified-only) (screenshot and/or SQL)</t>
        </is>
      </c>
      <c r="J204" s="43" t="inlineStr">
        <is>
          <t>NOT RUN</t>
        </is>
      </c>
      <c r="K204" s="37" t="inlineStr">
        <is>
          <t>Claude (pending env)</t>
        </is>
      </c>
      <c r="L204" s="37" t="n"/>
      <c r="M204" s="37" t="n"/>
      <c r="N204" s="37" t="inlineStr">
        <is>
          <t>[T4 | Phase 4 | Claude (pending env)] Playwright/authenticated-API against running env. awaiting running staging URL + test accounts</t>
        </is>
      </c>
    </row>
    <row r="205" ht="64.15000000000001" customHeight="1" s="29">
      <c r="A205" s="36" t="inlineStr">
        <is>
          <t>MX-CONTENT-0203</t>
        </is>
      </c>
      <c r="B205" s="55" t="inlineStr">
        <is>
          <t>P2</t>
        </is>
      </c>
      <c r="C205" s="36" t="inlineStr">
        <is>
          <t>Content/RAG</t>
        </is>
      </c>
      <c r="D205" s="36" t="inlineStr">
        <is>
          <t>Grade 12 · English · Readiness honesty</t>
        </is>
      </c>
      <c r="E205" s="36" t="inlineStr">
        <is>
          <t>Confirms the 'Readiness honesty' dimension for Grade 12 English.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205" s="36" t="inlineStr">
        <is>
          <t>A student account set to Grade 12 with English available.</t>
        </is>
      </c>
      <c r="G205" s="36" t="inlineStr">
        <is>
          <t>1) For one Grade 12 English chapter, compare cbse_syllabus rag_status/chunk_count/verified count to the actual indexed rows.</t>
        </is>
      </c>
      <c r="H205" s="36" t="inlineStr">
        <is>
          <t>Stored readiness matches reality for the sampled chapter.</t>
        </is>
      </c>
      <c r="I205" s="36" t="inlineStr">
        <is>
          <t>Evidence for Grade 12 English — Readiness honesty (screenshot and/or SQL)</t>
        </is>
      </c>
      <c r="J205" s="41" t="inlineStr">
        <is>
          <t>NOT RUN</t>
        </is>
      </c>
      <c r="K205" s="36" t="inlineStr">
        <is>
          <t>Claude (pending env)</t>
        </is>
      </c>
      <c r="L205" s="36" t="n"/>
      <c r="M205" s="36" t="n"/>
      <c r="N205" s="36" t="inlineStr">
        <is>
          <t>[T3 | Phase 3 | Claude (pending env)] parametrized SQL probe via live/staging Supabase. awaiting live/staging Supabase read access + A/B test accounts</t>
        </is>
      </c>
    </row>
    <row r="206" ht="64.15000000000001" customHeight="1" s="29">
      <c r="A206" s="37" t="inlineStr">
        <is>
          <t>MX-CONTENT-0204</t>
        </is>
      </c>
      <c r="B206" s="55" t="inlineStr">
        <is>
          <t>P2</t>
        </is>
      </c>
      <c r="C206" s="37" t="inlineStr">
        <is>
          <t>Content/RAG</t>
        </is>
      </c>
      <c r="D206" s="37" t="inlineStr">
        <is>
          <t>Grade 12 · English · Hindi availability</t>
        </is>
      </c>
      <c r="E206" s="37" t="inlineStr">
        <is>
          <t>Confirms the 'Hindi availability' dimension for Grade 12 English.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206" s="37" t="inlineStr">
        <is>
          <t>A student account set to Grade 12 with English available.</t>
        </is>
      </c>
      <c r="G206" s="37" t="inlineStr">
        <is>
          <t>1) For Grade 12 English, confirm Hindi content retrieves under language='hi' where indexed, or returns LANGUAGE_GAP.</t>
        </is>
      </c>
      <c r="H206" s="37" t="inlineStr">
        <is>
          <t>Hindi served where indexed; explicit LANGUAGE_GAP otherwise; never silent English.</t>
        </is>
      </c>
      <c r="I206" s="37" t="inlineStr">
        <is>
          <t>Evidence for Grade 12 English — Hindi availability (screenshot and/or SQL)</t>
        </is>
      </c>
      <c r="J206" s="43" t="inlineStr">
        <is>
          <t>NOT RUN</t>
        </is>
      </c>
      <c r="K206" s="37" t="inlineStr">
        <is>
          <t>Claude (pending env)</t>
        </is>
      </c>
      <c r="L206" s="37" t="n"/>
      <c r="M206" s="37" t="n"/>
      <c r="N206" s="37" t="inlineStr">
        <is>
          <t>[T3 | Phase 3 | Claude (pending env)] parametrized SQL probe via live/staging Supabase. awaiting live/staging Supabase read access + A/B test accounts. FINDING: LANGUAGE_GAP not implemented in code (docs only) -&gt; candidate P-defect, not auto-PASS</t>
        </is>
      </c>
    </row>
    <row r="207" ht="64.15000000000001" customHeight="1" s="29">
      <c r="A207" s="36" t="inlineStr">
        <is>
          <t>MX-CONTENT-0205</t>
        </is>
      </c>
      <c r="B207" s="54" t="inlineStr">
        <is>
          <t>P1</t>
        </is>
      </c>
      <c r="C207" s="36" t="inlineStr">
        <is>
          <t>Content/RAG</t>
        </is>
      </c>
      <c r="D207" s="36" t="inlineStr">
        <is>
          <t>Grade 12 · Hindi · Syllabus tree loads</t>
        </is>
      </c>
      <c r="E207" s="36" t="inlineStr">
        <is>
          <t>Confirms the 'Syllabus tree loads' dimension for Grade 12 Hindi.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207" s="36" t="inlineStr">
        <is>
          <t>A student account set to Grade 12 with Hindi available.</t>
        </is>
      </c>
      <c r="G207" s="36" t="inlineStr">
        <is>
          <t>1) Open the Hindi syllabus for Grade 12; confirm every chapter loads and the list matches cbse_syllabus exactly.</t>
        </is>
      </c>
      <c r="H207" s="36" t="inlineStr">
        <is>
          <t>Chapter list loads and matches the canonical taxonomy; no missing/extra/duplicate chapters.</t>
        </is>
      </c>
      <c r="I207" s="36" t="inlineStr">
        <is>
          <t>Evidence for Grade 12 Hindi — Syllabus tree loads (screenshot and/or SQL)</t>
        </is>
      </c>
      <c r="J207" s="41" t="inlineStr">
        <is>
          <t>NOT RUN</t>
        </is>
      </c>
      <c r="K207" s="36" t="inlineStr">
        <is>
          <t>Claude (pending env)</t>
        </is>
      </c>
      <c r="L207" s="36" t="n"/>
      <c r="M207" s="36" t="n"/>
      <c r="N207" s="36" t="inlineStr">
        <is>
          <t>[T4 | Phase 4 | Claude (pending env)] Playwright/authenticated-API against running env. awaiting running staging URL + test accounts</t>
        </is>
      </c>
    </row>
    <row r="208" ht="64.15000000000001" customHeight="1" s="29">
      <c r="A208" s="37" t="inlineStr">
        <is>
          <t>MX-CONTENT-0206</t>
        </is>
      </c>
      <c r="B208" s="54" t="inlineStr">
        <is>
          <t>P1</t>
        </is>
      </c>
      <c r="C208" s="37" t="inlineStr">
        <is>
          <t>Content/RAG</t>
        </is>
      </c>
      <c r="D208" s="37" t="inlineStr">
        <is>
          <t>Grade 12 · Hindi · Foxy in-syllabus grounding</t>
        </is>
      </c>
      <c r="E208" s="37" t="inlineStr">
        <is>
          <t>Confirms the 'Foxy in-syllabus grounding' dimension for Grade 12 Hindi.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208" s="37" t="inlineStr">
        <is>
          <t>A student account set to Grade 12 with Hindi available.</t>
        </is>
      </c>
      <c r="G208" s="37" t="inlineStr">
        <is>
          <t>1) Ask Foxy an in-syllabus Hindi question for Grade 12; confirm a grounded, cited answer from NCERT chunks.</t>
        </is>
      </c>
      <c r="H208" s="37" t="inlineStr">
        <is>
          <t>Answer is correct, on-syllabus, cited; grounded_ai_traces written.</t>
        </is>
      </c>
      <c r="I208" s="37" t="inlineStr">
        <is>
          <t>Evidence for Grade 12 Hindi — Foxy in-syllabus grounding (screenshot and/or SQL)</t>
        </is>
      </c>
      <c r="J208" s="43" t="inlineStr">
        <is>
          <t>NOT RUN</t>
        </is>
      </c>
      <c r="K208" s="37" t="inlineStr">
        <is>
          <t>Claude (pending env)</t>
        </is>
      </c>
      <c r="L208" s="37" t="n"/>
      <c r="M208" s="37" t="n"/>
      <c r="N208" s="37" t="inlineStr">
        <is>
          <t>[T4 | Phase 4 | Claude (pending env)] Playwright/authenticated-API against running env. awaiting running staging URL + test accounts</t>
        </is>
      </c>
    </row>
    <row r="209" ht="64.15000000000001" customHeight="1" s="29">
      <c r="A209" s="36" t="inlineStr">
        <is>
          <t>MX-CONTENT-0207</t>
        </is>
      </c>
      <c r="B209" s="54" t="inlineStr">
        <is>
          <t>P1</t>
        </is>
      </c>
      <c r="C209" s="36" t="inlineStr">
        <is>
          <t>Content/RAG</t>
        </is>
      </c>
      <c r="D209" s="36" t="inlineStr">
        <is>
          <t>Grade 12 · Hindi · Foxy out-of-syllabus refusal</t>
        </is>
      </c>
      <c r="E209" s="36" t="inlineStr">
        <is>
          <t>Confirms the 'Foxy out-of-syllabus refusal' dimension for Grade 12 Hindi.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209" s="36" t="inlineStr">
        <is>
          <t>A student account set to Grade 12 with Hindi available.</t>
        </is>
      </c>
      <c r="G209" s="36" t="inlineStr">
        <is>
          <t>1) Ask Foxy an out-of-syllabus Hindi question for Grade 12; confirm CURRICULUM_GAP, not a fabricated answer.</t>
        </is>
      </c>
      <c r="H209" s="36" t="inlineStr">
        <is>
          <t>Structured CURRICULUM_GAP returned; content_gaps logged; no hallucination.</t>
        </is>
      </c>
      <c r="I209" s="36" t="inlineStr">
        <is>
          <t>Evidence for Grade 12 Hindi — Foxy out-of-syllabus refusal (screenshot and/or SQL)</t>
        </is>
      </c>
      <c r="J209" s="41" t="inlineStr">
        <is>
          <t>NOT RUN</t>
        </is>
      </c>
      <c r="K209" s="36" t="inlineStr">
        <is>
          <t>Claude (pending env)</t>
        </is>
      </c>
      <c r="L209" s="36" t="n"/>
      <c r="M209" s="36" t="n"/>
      <c r="N209" s="36" t="inlineStr">
        <is>
          <t>[T4 | Phase 4 | Claude (pending env)] Playwright/authenticated-API against running env. awaiting running staging URL + test accounts. NOTE: CURRICULUM_GAP realised as grounded-answer abstain/coverage; verify against those</t>
        </is>
      </c>
    </row>
    <row r="210" ht="64.15000000000001" customHeight="1" s="29">
      <c r="A210" s="37" t="inlineStr">
        <is>
          <t>MX-CONTENT-0208</t>
        </is>
      </c>
      <c r="B210" s="54" t="inlineStr">
        <is>
          <t>P1</t>
        </is>
      </c>
      <c r="C210" s="37" t="inlineStr">
        <is>
          <t>Content/RAG</t>
        </is>
      </c>
      <c r="D210" s="37" t="inlineStr">
        <is>
          <t>Grade 12 · Hindi · Quiz generation (verified-only)</t>
        </is>
      </c>
      <c r="E210" s="37" t="inlineStr">
        <is>
          <t>Confirms the 'Quiz generation (verified-only)' dimension for Grade 12 Hindi.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210" s="37" t="inlineStr">
        <is>
          <t>A student account set to Grade 12 with Hindi available.</t>
        </is>
      </c>
      <c r="G210" s="37" t="inlineStr">
        <is>
          <t>1) Generate/take a Hindi quiz for Grade 12; collect served ids and confirm all are verification_state='verified'.</t>
        </is>
      </c>
      <c r="H210" s="37" t="inlineStr">
        <is>
          <t>Quiz generates; 100% of served questions are verified; none unverified.</t>
        </is>
      </c>
      <c r="I210" s="37" t="inlineStr">
        <is>
          <t>Evidence for Grade 12 Hindi — Quiz generation (verified-only) (screenshot and/or SQL)</t>
        </is>
      </c>
      <c r="J210" s="43" t="inlineStr">
        <is>
          <t>NOT RUN</t>
        </is>
      </c>
      <c r="K210" s="37" t="inlineStr">
        <is>
          <t>Claude (pending env)</t>
        </is>
      </c>
      <c r="L210" s="37" t="n"/>
      <c r="M210" s="37" t="n"/>
      <c r="N210" s="37" t="inlineStr">
        <is>
          <t>[T4 | Phase 4 | Claude (pending env)] Playwright/authenticated-API against running env. awaiting running staging URL + test accounts</t>
        </is>
      </c>
    </row>
    <row r="211" ht="64.15000000000001" customHeight="1" s="29">
      <c r="A211" s="36" t="inlineStr">
        <is>
          <t>MX-CONTENT-0209</t>
        </is>
      </c>
      <c r="B211" s="55" t="inlineStr">
        <is>
          <t>P2</t>
        </is>
      </c>
      <c r="C211" s="36" t="inlineStr">
        <is>
          <t>Content/RAG</t>
        </is>
      </c>
      <c r="D211" s="36" t="inlineStr">
        <is>
          <t>Grade 12 · Hindi · Readiness honesty</t>
        </is>
      </c>
      <c r="E211" s="36" t="inlineStr">
        <is>
          <t>Confirms the 'Readiness honesty' dimension for Grade 12 Hindi.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211" s="36" t="inlineStr">
        <is>
          <t>A student account set to Grade 12 with Hindi available.</t>
        </is>
      </c>
      <c r="G211" s="36" t="inlineStr">
        <is>
          <t>1) For one Grade 12 Hindi chapter, compare cbse_syllabus rag_status/chunk_count/verified count to the actual indexed rows.</t>
        </is>
      </c>
      <c r="H211" s="36" t="inlineStr">
        <is>
          <t>Stored readiness matches reality for the sampled chapter.</t>
        </is>
      </c>
      <c r="I211" s="36" t="inlineStr">
        <is>
          <t>Evidence for Grade 12 Hindi — Readiness honesty (screenshot and/or SQL)</t>
        </is>
      </c>
      <c r="J211" s="41" t="inlineStr">
        <is>
          <t>NOT RUN</t>
        </is>
      </c>
      <c r="K211" s="36" t="inlineStr">
        <is>
          <t>Claude (pending env)</t>
        </is>
      </c>
      <c r="L211" s="36" t="n"/>
      <c r="M211" s="36" t="n"/>
      <c r="N211" s="36" t="inlineStr">
        <is>
          <t>[T3 | Phase 3 | Claude (pending env)] parametrized SQL probe via live/staging Supabase. awaiting live/staging Supabase read access + A/B test accounts</t>
        </is>
      </c>
    </row>
    <row r="212" ht="64.15000000000001" customHeight="1" s="29">
      <c r="A212" s="37" t="inlineStr">
        <is>
          <t>MX-CONTENT-0210</t>
        </is>
      </c>
      <c r="B212" s="55" t="inlineStr">
        <is>
          <t>P2</t>
        </is>
      </c>
      <c r="C212" s="37" t="inlineStr">
        <is>
          <t>Content/RAG</t>
        </is>
      </c>
      <c r="D212" s="37" t="inlineStr">
        <is>
          <t>Grade 12 · Hindi · Hindi availability</t>
        </is>
      </c>
      <c r="E212" s="37" t="inlineStr">
        <is>
          <t>Confirms the 'Hindi availability' dimension for Grade 12 Hindi. Coverage is proven per grade, per subject, per dimension — not claimed in aggregate (verify subject applies to this grade/stream; FENCE cleanly if not offered). A gap on any dimension means that grade/subject is not truly launch-ready and must be fenced.</t>
        </is>
      </c>
      <c r="F212" s="37" t="inlineStr">
        <is>
          <t>A student account set to Grade 12 with Hindi available.</t>
        </is>
      </c>
      <c r="G212" s="37" t="inlineStr">
        <is>
          <t>1) For Grade 12 Hindi, confirm Hindi content retrieves under language='hi' where indexed, or returns LANGUAGE_GAP.</t>
        </is>
      </c>
      <c r="H212" s="37" t="inlineStr">
        <is>
          <t>Hindi served where indexed; explicit LANGUAGE_GAP otherwise; never silent English.</t>
        </is>
      </c>
      <c r="I212" s="37" t="inlineStr">
        <is>
          <t>Evidence for Grade 12 Hindi — Hindi availability (screenshot and/or SQL)</t>
        </is>
      </c>
      <c r="J212" s="43" t="inlineStr">
        <is>
          <t>NOT RUN</t>
        </is>
      </c>
      <c r="K212" s="37" t="inlineStr">
        <is>
          <t>Claude (pending env)</t>
        </is>
      </c>
      <c r="L212" s="37" t="n"/>
      <c r="M212" s="37" t="n"/>
      <c r="N212" s="37" t="inlineStr">
        <is>
          <t>[T3 | Phase 3 | Claude (pending env)] parametrized SQL probe via live/staging Supabase. awaiting live/staging Supabase read access + A/B test accounts</t>
        </is>
      </c>
    </row>
  </sheetData>
  <autoFilter ref="A2:N212"/>
  <mergeCells count="1">
    <mergeCell ref="A1:N1"/>
  </mergeCells>
  <conditionalFormatting sqref="J3:J212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212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N1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24 · Matrix — Input Validation (Endpoint × Malformed Input)   —   168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43.25" customHeight="1" s="29">
      <c r="A3" s="36" t="inlineStr">
        <is>
          <t>MX-INPUT-0001</t>
        </is>
      </c>
      <c r="B3" s="54" t="inlineStr">
        <is>
          <t>P1</t>
        </is>
      </c>
      <c r="C3" s="36" t="inlineStr">
        <is>
          <t>Backend/Validation</t>
        </is>
      </c>
      <c r="D3" s="36" t="inlineStr">
        <is>
          <t>start_quiz_session — Malformed UUID</t>
        </is>
      </c>
      <c r="E3" s="36" t="inlineStr">
        <is>
          <t>Confirms 'start_quiz_session' rejects the 'malformed uuid' case at the boundary with a structured error, instead of crashing, hanging, or processing bad data. Validation gaps here cause corrupt data, leaks, or fraud depending on the endpoint.</t>
        </is>
      </c>
      <c r="F3" s="36" t="inlineStr">
        <is>
          <t>Ability to send crafted requests (proxy/API client) with a valid and invalid session.</t>
        </is>
      </c>
      <c r="G3" s="36" t="inlineStr">
        <is>
          <t>1) Against 'start_quiz_session', send a non-UUID where a UUID is required. 2) Observe the response and any side effects.</t>
        </is>
      </c>
      <c r="H3" s="36" t="inlineStr">
        <is>
          <t>Returns a structured validation/authorisation error; no crash, no partial write, no data leak.</t>
        </is>
      </c>
      <c r="I3" s="36" t="inlineStr">
        <is>
          <t>Request/response capture</t>
        </is>
      </c>
      <c r="J3" s="41" t="inlineStr">
        <is>
          <t>NOT RUN</t>
        </is>
      </c>
      <c r="K3" s="36" t="inlineStr">
        <is>
          <t>Claude (pending env)</t>
        </is>
      </c>
      <c r="L3" s="36" t="n"/>
      <c r="M3" s="36" t="n"/>
      <c r="N3" s="36" t="inlineStr">
        <is>
          <t>[T4 | Phase 4 | Claude (pending env)] Playwright/authenticated-API against running env. awaiting running staging URL + test accounts</t>
        </is>
      </c>
    </row>
    <row r="4" ht="43.25" customHeight="1" s="29">
      <c r="A4" s="37" t="inlineStr">
        <is>
          <t>MX-INPUT-0002</t>
        </is>
      </c>
      <c r="B4" s="54" t="inlineStr">
        <is>
          <t>P1</t>
        </is>
      </c>
      <c r="C4" s="37" t="inlineStr">
        <is>
          <t>Backend/Validation</t>
        </is>
      </c>
      <c r="D4" s="37" t="inlineStr">
        <is>
          <t>start_quiz_session — Missing required field</t>
        </is>
      </c>
      <c r="E4" s="37" t="inlineStr">
        <is>
          <t>Confirms 'start_quiz_session' rejects the 'missing required field' case at the boundary with a structured error, instead of crashing, hanging, or processing bad data. Validation gaps here cause corrupt data, leaks, or fraud depending on the endpoint.</t>
        </is>
      </c>
      <c r="F4" s="37" t="inlineStr">
        <is>
          <t>Ability to send crafted requests (proxy/API client) with a valid and invalid session.</t>
        </is>
      </c>
      <c r="G4" s="37" t="inlineStr">
        <is>
          <t>1) Against 'start_quiz_session', omit a required field. 2) Observe the response and any side effects.</t>
        </is>
      </c>
      <c r="H4" s="37" t="inlineStr">
        <is>
          <t>Returns a structured validation/authorisation error; no crash, no partial write, no data leak.</t>
        </is>
      </c>
      <c r="I4" s="37" t="inlineStr">
        <is>
          <t>Request/response capture</t>
        </is>
      </c>
      <c r="J4" s="43" t="inlineStr">
        <is>
          <t>NOT RUN</t>
        </is>
      </c>
      <c r="K4" s="37" t="inlineStr">
        <is>
          <t>Claude (pending env)</t>
        </is>
      </c>
      <c r="L4" s="37" t="n"/>
      <c r="M4" s="37" t="n"/>
      <c r="N4" s="37" t="inlineStr">
        <is>
          <t>[T4 | Phase 4 | Claude (pending env)] Playwright/authenticated-API against running env. awaiting running staging URL + test accounts</t>
        </is>
      </c>
    </row>
    <row r="5" ht="43.25" customHeight="1" s="29">
      <c r="A5" s="36" t="inlineStr">
        <is>
          <t>MX-INPUT-0003</t>
        </is>
      </c>
      <c r="B5" s="54" t="inlineStr">
        <is>
          <t>P1</t>
        </is>
      </c>
      <c r="C5" s="36" t="inlineStr">
        <is>
          <t>Backend/Validation</t>
        </is>
      </c>
      <c r="D5" s="36" t="inlineStr">
        <is>
          <t>start_quiz_session — Wrong type</t>
        </is>
      </c>
      <c r="E5" s="36" t="inlineStr">
        <is>
          <t>Confirms 'start_quiz_session' rejects the 'wrong type' case at the boundary with a structured error, instead of crashing, hanging, or processing bad data. Validation gaps here cause corrupt data, leaks, or fraud depending on the endpoint.</t>
        </is>
      </c>
      <c r="F5" s="36" t="inlineStr">
        <is>
          <t>Ability to send crafted requests (proxy/API client) with a valid and invalid session.</t>
        </is>
      </c>
      <c r="G5" s="36" t="inlineStr">
        <is>
          <t>1) Against 'start_quiz_session', send a string where a number/enum is expected. 2) Observe the response and any side effects.</t>
        </is>
      </c>
      <c r="H5" s="36" t="inlineStr">
        <is>
          <t>Returns a structured validation/authorisation error; no crash, no partial write, no data leak.</t>
        </is>
      </c>
      <c r="I5" s="36" t="inlineStr">
        <is>
          <t>Request/response capture</t>
        </is>
      </c>
      <c r="J5" s="41" t="inlineStr">
        <is>
          <t>NOT RUN</t>
        </is>
      </c>
      <c r="K5" s="36" t="inlineStr">
        <is>
          <t>Claude (pending env)</t>
        </is>
      </c>
      <c r="L5" s="36" t="n"/>
      <c r="M5" s="36" t="n"/>
      <c r="N5" s="36" t="inlineStr">
        <is>
          <t>[T4 | Phase 4 | Claude (pending env)] Playwright/authenticated-API against running env. awaiting running staging URL + test accounts</t>
        </is>
      </c>
    </row>
    <row r="6" ht="43.25" customHeight="1" s="29">
      <c r="A6" s="37" t="inlineStr">
        <is>
          <t>MX-INPUT-0004</t>
        </is>
      </c>
      <c r="B6" s="54" t="inlineStr">
        <is>
          <t>P1</t>
        </is>
      </c>
      <c r="C6" s="37" t="inlineStr">
        <is>
          <t>Backend/Validation</t>
        </is>
      </c>
      <c r="D6" s="37" t="inlineStr">
        <is>
          <t>start_quiz_session — Out-of-range value</t>
        </is>
      </c>
      <c r="E6" s="37" t="inlineStr">
        <is>
          <t>Confirms 'start_quiz_session' rejects the 'out-of-range value' case at the boundary with a structured error, instead of crashing, hanging, or processing bad data. Validation gaps here cause corrupt data, leaks, or fraud depending on the endpoint.</t>
        </is>
      </c>
      <c r="F6" s="37" t="inlineStr">
        <is>
          <t>Ability to send crafted requests (proxy/API client) with a valid and invalid session.</t>
        </is>
      </c>
      <c r="G6" s="37" t="inlineStr">
        <is>
          <t>1) Against 'start_quiz_session', send a negative/overflow/enum-violating value (e.g. negative amount, invalid grade). 2) Observe the response and any side effects.</t>
        </is>
      </c>
      <c r="H6" s="37" t="inlineStr">
        <is>
          <t>Returns a structured validation/authorisation error; no crash, no partial write, no data leak.</t>
        </is>
      </c>
      <c r="I6" s="37" t="inlineStr">
        <is>
          <t>Request/response capture</t>
        </is>
      </c>
      <c r="J6" s="43" t="inlineStr">
        <is>
          <t>NOT RUN</t>
        </is>
      </c>
      <c r="K6" s="37" t="inlineStr">
        <is>
          <t>Claude (pending env)</t>
        </is>
      </c>
      <c r="L6" s="37" t="n"/>
      <c r="M6" s="37" t="n"/>
      <c r="N6" s="37" t="inlineStr">
        <is>
          <t>[T4 | Phase 4 | Claude (pending env)] Playwright/authenticated-API against running env. awaiting running staging URL + test accounts</t>
        </is>
      </c>
    </row>
    <row r="7" ht="43.25" customHeight="1" s="29">
      <c r="A7" s="36" t="inlineStr">
        <is>
          <t>MX-INPUT-0005</t>
        </is>
      </c>
      <c r="B7" s="54" t="inlineStr">
        <is>
          <t>P1</t>
        </is>
      </c>
      <c r="C7" s="36" t="inlineStr">
        <is>
          <t>Backend/Validation</t>
        </is>
      </c>
      <c r="D7" s="36" t="inlineStr">
        <is>
          <t>start_quiz_session — Oversized payload</t>
        </is>
      </c>
      <c r="E7" s="36" t="inlineStr">
        <is>
          <t>Confirms 'start_quiz_session' rejects the 'oversized payload' case at the boundary with a structured error, instead of crashing, hanging, or processing bad data. Validation gaps here cause corrupt data, leaks, or fraud depending on the endpoint.</t>
        </is>
      </c>
      <c r="F7" s="36" t="inlineStr">
        <is>
          <t>Ability to send crafted requests (proxy/API client) with a valid and invalid session.</t>
        </is>
      </c>
      <c r="G7" s="36" t="inlineStr">
        <is>
          <t>1) Against 'start_quiz_session', send an oversized/deeply-nested payload. 2) Observe the response and any side effects.</t>
        </is>
      </c>
      <c r="H7" s="36" t="inlineStr">
        <is>
          <t>Returns a structured validation/authorisation error; no crash, no partial write, no data leak.</t>
        </is>
      </c>
      <c r="I7" s="36" t="inlineStr">
        <is>
          <t>Request/response capture</t>
        </is>
      </c>
      <c r="J7" s="41" t="inlineStr">
        <is>
          <t>NOT RUN</t>
        </is>
      </c>
      <c r="K7" s="36" t="inlineStr">
        <is>
          <t>Claude (pending env)</t>
        </is>
      </c>
      <c r="L7" s="36" t="n"/>
      <c r="M7" s="36" t="n"/>
      <c r="N7" s="36" t="inlineStr">
        <is>
          <t>[T4 | Phase 4 | Claude (pending env)] Playwright/authenticated-API against running env. awaiting running staging URL + test accounts</t>
        </is>
      </c>
    </row>
    <row r="8" ht="43.25" customHeight="1" s="29">
      <c r="A8" s="37" t="inlineStr">
        <is>
          <t>MX-INPUT-0006</t>
        </is>
      </c>
      <c r="B8" s="54" t="inlineStr">
        <is>
          <t>P1</t>
        </is>
      </c>
      <c r="C8" s="37" t="inlineStr">
        <is>
          <t>Backend/Validation</t>
        </is>
      </c>
      <c r="D8" s="37" t="inlineStr">
        <is>
          <t>start_quiz_session — Injection attempt</t>
        </is>
      </c>
      <c r="E8" s="37" t="inlineStr">
        <is>
          <t>Confirms 'start_quiz_session' rejects the 'injection attempt' case at the boundary with a structured error, instead of crashing, hanging, or processing bad data. Validation gaps here cause corrupt data, leaks, or fraud depending on the endpoint.</t>
        </is>
      </c>
      <c r="F8" s="37" t="inlineStr">
        <is>
          <t>Ability to send crafted requests (proxy/API client) with a valid and invalid session.</t>
        </is>
      </c>
      <c r="G8" s="37" t="inlineStr">
        <is>
          <t>1) Against 'start_quiz_session', send SQL/script metacharacters in string fields. 2) Observe the response and any side effects.</t>
        </is>
      </c>
      <c r="H8" s="37" t="inlineStr">
        <is>
          <t>Returns a structured validation/authorisation error; no crash, no partial write, no data leak.</t>
        </is>
      </c>
      <c r="I8" s="37" t="inlineStr">
        <is>
          <t>Request/response capture</t>
        </is>
      </c>
      <c r="J8" s="43" t="inlineStr">
        <is>
          <t>NOT RUN</t>
        </is>
      </c>
      <c r="K8" s="37" t="inlineStr">
        <is>
          <t>Claude (pending env)</t>
        </is>
      </c>
      <c r="L8" s="37" t="n"/>
      <c r="M8" s="37" t="n"/>
      <c r="N8" s="37" t="inlineStr">
        <is>
          <t>[T4 | Phase 4 | Claude (pending env)] Playwright/authenticated-API against running env. awaiting running staging URL + test accounts</t>
        </is>
      </c>
    </row>
    <row r="9" ht="43.25" customHeight="1" s="29">
      <c r="A9" s="36" t="inlineStr">
        <is>
          <t>MX-INPUT-0007</t>
        </is>
      </c>
      <c r="B9" s="54" t="inlineStr">
        <is>
          <t>P1</t>
        </is>
      </c>
      <c r="C9" s="36" t="inlineStr">
        <is>
          <t>Backend/Validation</t>
        </is>
      </c>
      <c r="D9" s="36" t="inlineStr">
        <is>
          <t>start_quiz_session — Unauthorised caller</t>
        </is>
      </c>
      <c r="E9" s="36" t="inlineStr">
        <is>
          <t>Confirms 'start_quiz_session' rejects the 'unauthorised caller' case at the boundary with a structured error, instead of crashing, hanging, or processing bad data. Validation gaps here cause corrupt data, leaks, or fraud depending on the endpoint.</t>
        </is>
      </c>
      <c r="F9" s="36" t="inlineStr">
        <is>
          <t>Ability to send crafted requests (proxy/API client) with a valid and invalid session.</t>
        </is>
      </c>
      <c r="G9" s="36" t="inlineStr">
        <is>
          <t>1) Against 'start_quiz_session', call without a valid session / as the wrong role. 2) Observe the response and any side effects.</t>
        </is>
      </c>
      <c r="H9" s="36" t="inlineStr">
        <is>
          <t>Returns a structured validation/authorisation error; no crash, no partial write, no data leak.</t>
        </is>
      </c>
      <c r="I9" s="36" t="inlineStr">
        <is>
          <t>Request/response capture</t>
        </is>
      </c>
      <c r="J9" s="41" t="inlineStr">
        <is>
          <t>NOT RUN</t>
        </is>
      </c>
      <c r="K9" s="36" t="inlineStr">
        <is>
          <t>Claude (pending env)</t>
        </is>
      </c>
      <c r="L9" s="36" t="n"/>
      <c r="M9" s="36" t="n"/>
      <c r="N9" s="36" t="inlineStr">
        <is>
          <t>[T4 | Phase 4 | Claude (pending env)] Playwright/authenticated-API against running env. awaiting running staging URL + test accounts</t>
        </is>
      </c>
    </row>
    <row r="10" ht="43.25" customHeight="1" s="29">
      <c r="A10" s="37" t="inlineStr">
        <is>
          <t>MX-INPUT-0008</t>
        </is>
      </c>
      <c r="B10" s="54" t="inlineStr">
        <is>
          <t>P1</t>
        </is>
      </c>
      <c r="C10" s="37" t="inlineStr">
        <is>
          <t>Backend/Validation</t>
        </is>
      </c>
      <c r="D10" s="37" t="inlineStr">
        <is>
          <t>submit_quiz_results_v2 — Malformed UUID</t>
        </is>
      </c>
      <c r="E10" s="37" t="inlineStr">
        <is>
          <t>Confirms 'submit_quiz_results_v2' rejects the 'malformed uuid' case at the boundary with a structured error, instead of crashing, hanging, or processing bad data. Validation gaps here cause corrupt data, leaks, or fraud depending on the endpoint.</t>
        </is>
      </c>
      <c r="F10" s="37" t="inlineStr">
        <is>
          <t>Ability to send crafted requests (proxy/API client) with a valid and invalid session.</t>
        </is>
      </c>
      <c r="G10" s="37" t="inlineStr">
        <is>
          <t>1) Against 'submit_quiz_results_v2', send a non-UUID where a UUID is required. 2) Observe the response and any side effects.</t>
        </is>
      </c>
      <c r="H10" s="37" t="inlineStr">
        <is>
          <t>Returns a structured validation/authorisation error; no crash, no partial write, no data leak.</t>
        </is>
      </c>
      <c r="I10" s="37" t="inlineStr">
        <is>
          <t>Request/response capture</t>
        </is>
      </c>
      <c r="J10" s="43" t="inlineStr">
        <is>
          <t>NOT RUN</t>
        </is>
      </c>
      <c r="K10" s="37" t="inlineStr">
        <is>
          <t>Claude (pending env)</t>
        </is>
      </c>
      <c r="L10" s="37" t="n"/>
      <c r="M10" s="37" t="n"/>
      <c r="N10" s="37" t="inlineStr">
        <is>
          <t>[T4 | Phase 4 | Claude (pending env)] Playwright/authenticated-API against running env. awaiting running staging URL + test accounts</t>
        </is>
      </c>
    </row>
    <row r="11" ht="43.25" customHeight="1" s="29">
      <c r="A11" s="36" t="inlineStr">
        <is>
          <t>MX-INPUT-0009</t>
        </is>
      </c>
      <c r="B11" s="54" t="inlineStr">
        <is>
          <t>P1</t>
        </is>
      </c>
      <c r="C11" s="36" t="inlineStr">
        <is>
          <t>Backend/Validation</t>
        </is>
      </c>
      <c r="D11" s="36" t="inlineStr">
        <is>
          <t>submit_quiz_results_v2 — Missing required field</t>
        </is>
      </c>
      <c r="E11" s="36" t="inlineStr">
        <is>
          <t>Confirms 'submit_quiz_results_v2' rejects the 'missing required field' case at the boundary with a structured error, instead of crashing, hanging, or processing bad data. Validation gaps here cause corrupt data, leaks, or fraud depending on the endpoint.</t>
        </is>
      </c>
      <c r="F11" s="36" t="inlineStr">
        <is>
          <t>Ability to send crafted requests (proxy/API client) with a valid and invalid session.</t>
        </is>
      </c>
      <c r="G11" s="36" t="inlineStr">
        <is>
          <t>1) Against 'submit_quiz_results_v2', omit a required field. 2) Observe the response and any side effects.</t>
        </is>
      </c>
      <c r="H11" s="36" t="inlineStr">
        <is>
          <t>Returns a structured validation/authorisation error; no crash, no partial write, no data leak.</t>
        </is>
      </c>
      <c r="I11" s="36" t="inlineStr">
        <is>
          <t>Request/response capture</t>
        </is>
      </c>
      <c r="J11" s="41" t="inlineStr">
        <is>
          <t>NOT RUN</t>
        </is>
      </c>
      <c r="K11" s="36" t="inlineStr">
        <is>
          <t>Claude (pending env)</t>
        </is>
      </c>
      <c r="L11" s="36" t="n"/>
      <c r="M11" s="36" t="n"/>
      <c r="N11" s="36" t="inlineStr">
        <is>
          <t>[T4 | Phase 4 | Claude (pending env)] Playwright/authenticated-API against running env. awaiting running staging URL + test accounts</t>
        </is>
      </c>
    </row>
    <row r="12" ht="43.25" customHeight="1" s="29">
      <c r="A12" s="37" t="inlineStr">
        <is>
          <t>MX-INPUT-0010</t>
        </is>
      </c>
      <c r="B12" s="54" t="inlineStr">
        <is>
          <t>P1</t>
        </is>
      </c>
      <c r="C12" s="37" t="inlineStr">
        <is>
          <t>Backend/Validation</t>
        </is>
      </c>
      <c r="D12" s="37" t="inlineStr">
        <is>
          <t>submit_quiz_results_v2 — Wrong type</t>
        </is>
      </c>
      <c r="E12" s="37" t="inlineStr">
        <is>
          <t>Confirms 'submit_quiz_results_v2' rejects the 'wrong type' case at the boundary with a structured error, instead of crashing, hanging, or processing bad data. Validation gaps here cause corrupt data, leaks, or fraud depending on the endpoint.</t>
        </is>
      </c>
      <c r="F12" s="37" t="inlineStr">
        <is>
          <t>Ability to send crafted requests (proxy/API client) with a valid and invalid session.</t>
        </is>
      </c>
      <c r="G12" s="37" t="inlineStr">
        <is>
          <t>1) Against 'submit_quiz_results_v2', send a string where a number/enum is expected. 2) Observe the response and any side effects.</t>
        </is>
      </c>
      <c r="H12" s="37" t="inlineStr">
        <is>
          <t>Returns a structured validation/authorisation error; no crash, no partial write, no data leak.</t>
        </is>
      </c>
      <c r="I12" s="37" t="inlineStr">
        <is>
          <t>Request/response capture</t>
        </is>
      </c>
      <c r="J12" s="43" t="inlineStr">
        <is>
          <t>NOT RUN</t>
        </is>
      </c>
      <c r="K12" s="37" t="inlineStr">
        <is>
          <t>Claude (pending env)</t>
        </is>
      </c>
      <c r="L12" s="37" t="n"/>
      <c r="M12" s="37" t="n"/>
      <c r="N12" s="37" t="inlineStr">
        <is>
          <t>[T4 | Phase 4 | Claude (pending env)] Playwright/authenticated-API against running env. awaiting running staging URL + test accounts</t>
        </is>
      </c>
    </row>
    <row r="13" ht="43.25" customHeight="1" s="29">
      <c r="A13" s="36" t="inlineStr">
        <is>
          <t>MX-INPUT-0011</t>
        </is>
      </c>
      <c r="B13" s="54" t="inlineStr">
        <is>
          <t>P1</t>
        </is>
      </c>
      <c r="C13" s="36" t="inlineStr">
        <is>
          <t>Backend/Validation</t>
        </is>
      </c>
      <c r="D13" s="36" t="inlineStr">
        <is>
          <t>submit_quiz_results_v2 — Out-of-range value</t>
        </is>
      </c>
      <c r="E13" s="36" t="inlineStr">
        <is>
          <t>Confirms 'submit_quiz_results_v2' rejects the 'out-of-range value' case at the boundary with a structured error, instead of crashing, hanging, or processing bad data. Validation gaps here cause corrupt data, leaks, or fraud depending on the endpoint.</t>
        </is>
      </c>
      <c r="F13" s="36" t="inlineStr">
        <is>
          <t>Ability to send crafted requests (proxy/API client) with a valid and invalid session.</t>
        </is>
      </c>
      <c r="G13" s="36" t="inlineStr">
        <is>
          <t>1) Against 'submit_quiz_results_v2', send a negative/overflow/enum-violating value (e.g. negative amount, invalid grade). 2) Observe the response and any side effects.</t>
        </is>
      </c>
      <c r="H13" s="36" t="inlineStr">
        <is>
          <t>Returns a structured validation/authorisation error; no crash, no partial write, no data leak.</t>
        </is>
      </c>
      <c r="I13" s="36" t="inlineStr">
        <is>
          <t>Request/response capture</t>
        </is>
      </c>
      <c r="J13" s="41" t="inlineStr">
        <is>
          <t>NOT RUN</t>
        </is>
      </c>
      <c r="K13" s="36" t="inlineStr">
        <is>
          <t>Claude (pending env)</t>
        </is>
      </c>
      <c r="L13" s="36" t="n"/>
      <c r="M13" s="36" t="n"/>
      <c r="N13" s="36" t="inlineStr">
        <is>
          <t>[T4 | Phase 4 | Claude (pending env)] Playwright/authenticated-API against running env. awaiting running staging URL + test accounts</t>
        </is>
      </c>
    </row>
    <row r="14" ht="43.25" customHeight="1" s="29">
      <c r="A14" s="37" t="inlineStr">
        <is>
          <t>MX-INPUT-0012</t>
        </is>
      </c>
      <c r="B14" s="54" t="inlineStr">
        <is>
          <t>P1</t>
        </is>
      </c>
      <c r="C14" s="37" t="inlineStr">
        <is>
          <t>Backend/Validation</t>
        </is>
      </c>
      <c r="D14" s="37" t="inlineStr">
        <is>
          <t>submit_quiz_results_v2 — Oversized payload</t>
        </is>
      </c>
      <c r="E14" s="37" t="inlineStr">
        <is>
          <t>Confirms 'submit_quiz_results_v2' rejects the 'oversized payload' case at the boundary with a structured error, instead of crashing, hanging, or processing bad data. Validation gaps here cause corrupt data, leaks, or fraud depending on the endpoint.</t>
        </is>
      </c>
      <c r="F14" s="37" t="inlineStr">
        <is>
          <t>Ability to send crafted requests (proxy/API client) with a valid and invalid session.</t>
        </is>
      </c>
      <c r="G14" s="37" t="inlineStr">
        <is>
          <t>1) Against 'submit_quiz_results_v2', send an oversized/deeply-nested payload. 2) Observe the response and any side effects.</t>
        </is>
      </c>
      <c r="H14" s="37" t="inlineStr">
        <is>
          <t>Returns a structured validation/authorisation error; no crash, no partial write, no data leak.</t>
        </is>
      </c>
      <c r="I14" s="37" t="inlineStr">
        <is>
          <t>Request/response capture</t>
        </is>
      </c>
      <c r="J14" s="43" t="inlineStr">
        <is>
          <t>NOT RUN</t>
        </is>
      </c>
      <c r="K14" s="37" t="inlineStr">
        <is>
          <t>Claude (pending env)</t>
        </is>
      </c>
      <c r="L14" s="37" t="n"/>
      <c r="M14" s="37" t="n"/>
      <c r="N14" s="37" t="inlineStr">
        <is>
          <t>[T4 | Phase 4 | Claude (pending env)] Playwright/authenticated-API against running env. awaiting running staging URL + test accounts</t>
        </is>
      </c>
    </row>
    <row r="15" ht="43.25" customHeight="1" s="29">
      <c r="A15" s="36" t="inlineStr">
        <is>
          <t>MX-INPUT-0013</t>
        </is>
      </c>
      <c r="B15" s="54" t="inlineStr">
        <is>
          <t>P1</t>
        </is>
      </c>
      <c r="C15" s="36" t="inlineStr">
        <is>
          <t>Backend/Validation</t>
        </is>
      </c>
      <c r="D15" s="36" t="inlineStr">
        <is>
          <t>submit_quiz_results_v2 — Injection attempt</t>
        </is>
      </c>
      <c r="E15" s="36" t="inlineStr">
        <is>
          <t>Confirms 'submit_quiz_results_v2' rejects the 'injection attempt' case at the boundary with a structured error, instead of crashing, hanging, or processing bad data. Validation gaps here cause corrupt data, leaks, or fraud depending on the endpoint.</t>
        </is>
      </c>
      <c r="F15" s="36" t="inlineStr">
        <is>
          <t>Ability to send crafted requests (proxy/API client) with a valid and invalid session.</t>
        </is>
      </c>
      <c r="G15" s="36" t="inlineStr">
        <is>
          <t>1) Against 'submit_quiz_results_v2', send SQL/script metacharacters in string fields. 2) Observe the response and any side effects.</t>
        </is>
      </c>
      <c r="H15" s="36" t="inlineStr">
        <is>
          <t>Returns a structured validation/authorisation error; no crash, no partial write, no data leak.</t>
        </is>
      </c>
      <c r="I15" s="36" t="inlineStr">
        <is>
          <t>Request/response capture</t>
        </is>
      </c>
      <c r="J15" s="41" t="inlineStr">
        <is>
          <t>NOT RUN</t>
        </is>
      </c>
      <c r="K15" s="36" t="inlineStr">
        <is>
          <t>Claude (pending env)</t>
        </is>
      </c>
      <c r="L15" s="36" t="n"/>
      <c r="M15" s="36" t="n"/>
      <c r="N15" s="36" t="inlineStr">
        <is>
          <t>[T4 | Phase 4 | Claude (pending env)] Playwright/authenticated-API against running env. awaiting running staging URL + test accounts</t>
        </is>
      </c>
    </row>
    <row r="16" ht="43.25" customHeight="1" s="29">
      <c r="A16" s="37" t="inlineStr">
        <is>
          <t>MX-INPUT-0014</t>
        </is>
      </c>
      <c r="B16" s="54" t="inlineStr">
        <is>
          <t>P1</t>
        </is>
      </c>
      <c r="C16" s="37" t="inlineStr">
        <is>
          <t>Backend/Validation</t>
        </is>
      </c>
      <c r="D16" s="37" t="inlineStr">
        <is>
          <t>submit_quiz_results_v2 — Unauthorised caller</t>
        </is>
      </c>
      <c r="E16" s="37" t="inlineStr">
        <is>
          <t>Confirms 'submit_quiz_results_v2' rejects the 'unauthorised caller' case at the boundary with a structured error, instead of crashing, hanging, or processing bad data. Validation gaps here cause corrupt data, leaks, or fraud depending on the endpoint.</t>
        </is>
      </c>
      <c r="F16" s="37" t="inlineStr">
        <is>
          <t>Ability to send crafted requests (proxy/API client) with a valid and invalid session.</t>
        </is>
      </c>
      <c r="G16" s="37" t="inlineStr">
        <is>
          <t>1) Against 'submit_quiz_results_v2', call without a valid session / as the wrong role. 2) Observe the response and any side effects.</t>
        </is>
      </c>
      <c r="H16" s="37" t="inlineStr">
        <is>
          <t>Returns a structured validation/authorisation error; no crash, no partial write, no data leak.</t>
        </is>
      </c>
      <c r="I16" s="37" t="inlineStr">
        <is>
          <t>Request/response capture</t>
        </is>
      </c>
      <c r="J16" s="43" t="inlineStr">
        <is>
          <t>NOT RUN</t>
        </is>
      </c>
      <c r="K16" s="37" t="inlineStr">
        <is>
          <t>Claude (pending env)</t>
        </is>
      </c>
      <c r="L16" s="37" t="n"/>
      <c r="M16" s="37" t="n"/>
      <c r="N16" s="37" t="inlineStr">
        <is>
          <t>[T4 | Phase 4 | Claude (pending env)] Playwright/authenticated-API against running env. awaiting running staging URL + test accounts</t>
        </is>
      </c>
    </row>
    <row r="17" ht="43.25" customHeight="1" s="29">
      <c r="A17" s="36" t="inlineStr">
        <is>
          <t>MX-INPUT-0015</t>
        </is>
      </c>
      <c r="B17" s="54" t="inlineStr">
        <is>
          <t>P1</t>
        </is>
      </c>
      <c r="C17" s="36" t="inlineStr">
        <is>
          <t>Backend/Validation</t>
        </is>
      </c>
      <c r="D17" s="36" t="inlineStr">
        <is>
          <t>tutor_commit_attempt (RPC) — Malformed UUID</t>
        </is>
      </c>
      <c r="E17" s="36" t="inlineStr">
        <is>
          <t>Confirms 'tutor_commit_attempt (RPC)' rejects the 'malformed uuid' case at the boundary with a structured error, instead of crashing, hanging, or processing bad data. Validation gaps here cause corrupt data, leaks, or fraud depending on the endpoint.</t>
        </is>
      </c>
      <c r="F17" s="36" t="inlineStr">
        <is>
          <t>Ability to send crafted requests (proxy/API client) with a valid and invalid session.</t>
        </is>
      </c>
      <c r="G17" s="36" t="inlineStr">
        <is>
          <t>1) Against 'tutor_commit_attempt (RPC)', send a non-UUID where a UUID is required. 2) Observe the response and any side effects.</t>
        </is>
      </c>
      <c r="H17" s="36" t="inlineStr">
        <is>
          <t>Returns a structured validation/authorisation error; no crash, no partial write, no data leak.</t>
        </is>
      </c>
      <c r="I17" s="36" t="inlineStr">
        <is>
          <t>Request/response capture</t>
        </is>
      </c>
      <c r="J17" s="41" t="inlineStr">
        <is>
          <t>NOT RUN</t>
        </is>
      </c>
      <c r="K17" s="36" t="inlineStr">
        <is>
          <t>Claude (pending env)</t>
        </is>
      </c>
      <c r="L17" s="36" t="n"/>
      <c r="M17" s="36" t="n"/>
      <c r="N17" s="36" t="inlineStr">
        <is>
          <t>[T4 | Phase 4 | Claude (pending env)] Playwright/authenticated-API against running env. awaiting running staging URL + test accounts</t>
        </is>
      </c>
    </row>
    <row r="18" ht="53.7" customHeight="1" s="29">
      <c r="A18" s="37" t="inlineStr">
        <is>
          <t>MX-INPUT-0016</t>
        </is>
      </c>
      <c r="B18" s="54" t="inlineStr">
        <is>
          <t>P1</t>
        </is>
      </c>
      <c r="C18" s="37" t="inlineStr">
        <is>
          <t>Backend/Validation</t>
        </is>
      </c>
      <c r="D18" s="37" t="inlineStr">
        <is>
          <t>tutor_commit_attempt (RPC) — Missing required field</t>
        </is>
      </c>
      <c r="E18" s="37" t="inlineStr">
        <is>
          <t>Confirms 'tutor_commit_attempt (RPC)' rejects the 'missing required field' case at the boundary with a structured error, instead of crashing, hanging, or processing bad data. Validation gaps here cause corrupt data, leaks, or fraud depending on the endpoint.</t>
        </is>
      </c>
      <c r="F18" s="37" t="inlineStr">
        <is>
          <t>Ability to send crafted requests (proxy/API client) with a valid and invalid session.</t>
        </is>
      </c>
      <c r="G18" s="37" t="inlineStr">
        <is>
          <t>1) Against 'tutor_commit_attempt (RPC)', omit a required field. 2) Observe the response and any side effects.</t>
        </is>
      </c>
      <c r="H18" s="37" t="inlineStr">
        <is>
          <t>Returns a structured validation/authorisation error; no crash, no partial write, no data leak.</t>
        </is>
      </c>
      <c r="I18" s="37" t="inlineStr">
        <is>
          <t>Request/response capture</t>
        </is>
      </c>
      <c r="J18" s="43" t="inlineStr">
        <is>
          <t>NOT RUN</t>
        </is>
      </c>
      <c r="K18" s="37" t="inlineStr">
        <is>
          <t>Claude (pending env)</t>
        </is>
      </c>
      <c r="L18" s="37" t="n"/>
      <c r="M18" s="37" t="n"/>
      <c r="N18" s="37" t="inlineStr">
        <is>
          <t>[T4 | Phase 4 | Claude (pending env)] Playwright/authenticated-API against running env. awaiting running staging URL + test accounts</t>
        </is>
      </c>
    </row>
    <row r="19" ht="43.25" customHeight="1" s="29">
      <c r="A19" s="36" t="inlineStr">
        <is>
          <t>MX-INPUT-0017</t>
        </is>
      </c>
      <c r="B19" s="54" t="inlineStr">
        <is>
          <t>P1</t>
        </is>
      </c>
      <c r="C19" s="36" t="inlineStr">
        <is>
          <t>Backend/Validation</t>
        </is>
      </c>
      <c r="D19" s="36" t="inlineStr">
        <is>
          <t>tutor_commit_attempt (RPC) — Wrong type</t>
        </is>
      </c>
      <c r="E19" s="36" t="inlineStr">
        <is>
          <t>Confirms 'tutor_commit_attempt (RPC)' rejects the 'wrong type' case at the boundary with a structured error, instead of crashing, hanging, or processing bad data. Validation gaps here cause corrupt data, leaks, or fraud depending on the endpoint.</t>
        </is>
      </c>
      <c r="F19" s="36" t="inlineStr">
        <is>
          <t>Ability to send crafted requests (proxy/API client) with a valid and invalid session.</t>
        </is>
      </c>
      <c r="G19" s="36" t="inlineStr">
        <is>
          <t>1) Against 'tutor_commit_attempt (RPC)', send a string where a number/enum is expected. 2) Observe the response and any side effects.</t>
        </is>
      </c>
      <c r="H19" s="36" t="inlineStr">
        <is>
          <t>Returns a structured validation/authorisation error; no crash, no partial write, no data leak.</t>
        </is>
      </c>
      <c r="I19" s="36" t="inlineStr">
        <is>
          <t>Request/response capture</t>
        </is>
      </c>
      <c r="J19" s="41" t="inlineStr">
        <is>
          <t>NOT RUN</t>
        </is>
      </c>
      <c r="K19" s="36" t="inlineStr">
        <is>
          <t>Claude (pending env)</t>
        </is>
      </c>
      <c r="L19" s="36" t="n"/>
      <c r="M19" s="36" t="n"/>
      <c r="N19" s="36" t="inlineStr">
        <is>
          <t>[T4 | Phase 4 | Claude (pending env)] Playwright/authenticated-API against running env. awaiting running staging URL + test accounts</t>
        </is>
      </c>
    </row>
    <row r="20" ht="43.25" customHeight="1" s="29">
      <c r="A20" s="37" t="inlineStr">
        <is>
          <t>MX-INPUT-0018</t>
        </is>
      </c>
      <c r="B20" s="54" t="inlineStr">
        <is>
          <t>P1</t>
        </is>
      </c>
      <c r="C20" s="37" t="inlineStr">
        <is>
          <t>Backend/Validation</t>
        </is>
      </c>
      <c r="D20" s="37" t="inlineStr">
        <is>
          <t>tutor_commit_attempt (RPC) — Out-of-range value</t>
        </is>
      </c>
      <c r="E20" s="37" t="inlineStr">
        <is>
          <t>Confirms 'tutor_commit_attempt (RPC)' rejects the 'out-of-range value' case at the boundary with a structured error, instead of crashing, hanging, or processing bad data. Validation gaps here cause corrupt data, leaks, or fraud depending on the endpoint.</t>
        </is>
      </c>
      <c r="F20" s="37" t="inlineStr">
        <is>
          <t>Ability to send crafted requests (proxy/API client) with a valid and invalid session.</t>
        </is>
      </c>
      <c r="G20" s="37" t="inlineStr">
        <is>
          <t>1) Against 'tutor_commit_attempt (RPC)', send a negative/overflow/enum-violating value (e.g. negative amount, invalid grade). 2) Observe the response and any side effects.</t>
        </is>
      </c>
      <c r="H20" s="37" t="inlineStr">
        <is>
          <t>Returns a structured validation/authorisation error; no crash, no partial write, no data leak.</t>
        </is>
      </c>
      <c r="I20" s="37" t="inlineStr">
        <is>
          <t>Request/response capture</t>
        </is>
      </c>
      <c r="J20" s="43" t="inlineStr">
        <is>
          <t>NOT RUN</t>
        </is>
      </c>
      <c r="K20" s="37" t="inlineStr">
        <is>
          <t>Claude (pending env)</t>
        </is>
      </c>
      <c r="L20" s="37" t="n"/>
      <c r="M20" s="37" t="n"/>
      <c r="N20" s="37" t="inlineStr">
        <is>
          <t>[T4 | Phase 4 | Claude (pending env)] Playwright/authenticated-API against running env. awaiting running staging URL + test accounts</t>
        </is>
      </c>
    </row>
    <row r="21" ht="43.25" customHeight="1" s="29">
      <c r="A21" s="36" t="inlineStr">
        <is>
          <t>MX-INPUT-0019</t>
        </is>
      </c>
      <c r="B21" s="54" t="inlineStr">
        <is>
          <t>P1</t>
        </is>
      </c>
      <c r="C21" s="36" t="inlineStr">
        <is>
          <t>Backend/Validation</t>
        </is>
      </c>
      <c r="D21" s="36" t="inlineStr">
        <is>
          <t>tutor_commit_attempt (RPC) — Oversized payload</t>
        </is>
      </c>
      <c r="E21" s="36" t="inlineStr">
        <is>
          <t>Confirms 'tutor_commit_attempt (RPC)' rejects the 'oversized payload' case at the boundary with a structured error, instead of crashing, hanging, or processing bad data. Validation gaps here cause corrupt data, leaks, or fraud depending on the endpoint.</t>
        </is>
      </c>
      <c r="F21" s="36" t="inlineStr">
        <is>
          <t>Ability to send crafted requests (proxy/API client) with a valid and invalid session.</t>
        </is>
      </c>
      <c r="G21" s="36" t="inlineStr">
        <is>
          <t>1) Against 'tutor_commit_attempt (RPC)', send an oversized/deeply-nested payload. 2) Observe the response and any side effects.</t>
        </is>
      </c>
      <c r="H21" s="36" t="inlineStr">
        <is>
          <t>Returns a structured validation/authorisation error; no crash, no partial write, no data leak.</t>
        </is>
      </c>
      <c r="I21" s="36" t="inlineStr">
        <is>
          <t>Request/response capture</t>
        </is>
      </c>
      <c r="J21" s="41" t="inlineStr">
        <is>
          <t>NOT RUN</t>
        </is>
      </c>
      <c r="K21" s="36" t="inlineStr">
        <is>
          <t>Claude (pending env)</t>
        </is>
      </c>
      <c r="L21" s="36" t="n"/>
      <c r="M21" s="36" t="n"/>
      <c r="N21" s="36" t="inlineStr">
        <is>
          <t>[T4 | Phase 4 | Claude (pending env)] Playwright/authenticated-API against running env. awaiting running staging URL + test accounts</t>
        </is>
      </c>
    </row>
    <row r="22" ht="43.25" customHeight="1" s="29">
      <c r="A22" s="37" t="inlineStr">
        <is>
          <t>MX-INPUT-0020</t>
        </is>
      </c>
      <c r="B22" s="54" t="inlineStr">
        <is>
          <t>P1</t>
        </is>
      </c>
      <c r="C22" s="37" t="inlineStr">
        <is>
          <t>Backend/Validation</t>
        </is>
      </c>
      <c r="D22" s="37" t="inlineStr">
        <is>
          <t>tutor_commit_attempt (RPC) — Injection attempt</t>
        </is>
      </c>
      <c r="E22" s="37" t="inlineStr">
        <is>
          <t>Confirms 'tutor_commit_attempt (RPC)' rejects the 'injection attempt' case at the boundary with a structured error, instead of crashing, hanging, or processing bad data. Validation gaps here cause corrupt data, leaks, or fraud depending on the endpoint.</t>
        </is>
      </c>
      <c r="F22" s="37" t="inlineStr">
        <is>
          <t>Ability to send crafted requests (proxy/API client) with a valid and invalid session.</t>
        </is>
      </c>
      <c r="G22" s="37" t="inlineStr">
        <is>
          <t>1) Against 'tutor_commit_attempt (RPC)', send SQL/script metacharacters in string fields. 2) Observe the response and any side effects.</t>
        </is>
      </c>
      <c r="H22" s="37" t="inlineStr">
        <is>
          <t>Returns a structured validation/authorisation error; no crash, no partial write, no data leak.</t>
        </is>
      </c>
      <c r="I22" s="37" t="inlineStr">
        <is>
          <t>Request/response capture</t>
        </is>
      </c>
      <c r="J22" s="43" t="inlineStr">
        <is>
          <t>NOT RUN</t>
        </is>
      </c>
      <c r="K22" s="37" t="inlineStr">
        <is>
          <t>Claude (pending env)</t>
        </is>
      </c>
      <c r="L22" s="37" t="n"/>
      <c r="M22" s="37" t="n"/>
      <c r="N22" s="37" t="inlineStr">
        <is>
          <t>[T4 | Phase 4 | Claude (pending env)] Playwright/authenticated-API against running env. awaiting running staging URL + test accounts</t>
        </is>
      </c>
    </row>
    <row r="23" ht="53.7" customHeight="1" s="29">
      <c r="A23" s="36" t="inlineStr">
        <is>
          <t>MX-INPUT-0021</t>
        </is>
      </c>
      <c r="B23" s="54" t="inlineStr">
        <is>
          <t>P1</t>
        </is>
      </c>
      <c r="C23" s="36" t="inlineStr">
        <is>
          <t>Backend/Validation</t>
        </is>
      </c>
      <c r="D23" s="36" t="inlineStr">
        <is>
          <t>tutor_commit_attempt (RPC) — Unauthorised caller</t>
        </is>
      </c>
      <c r="E23" s="36" t="inlineStr">
        <is>
          <t>Confirms 'tutor_commit_attempt (RPC)' rejects the 'unauthorised caller' case at the boundary with a structured error, instead of crashing, hanging, or processing bad data. Validation gaps here cause corrupt data, leaks, or fraud depending on the endpoint.</t>
        </is>
      </c>
      <c r="F23" s="36" t="inlineStr">
        <is>
          <t>Ability to send crafted requests (proxy/API client) with a valid and invalid session.</t>
        </is>
      </c>
      <c r="G23" s="36" t="inlineStr">
        <is>
          <t>1) Against 'tutor_commit_attempt (RPC)', call without a valid session / as the wrong role. 2) Observe the response and any side effects.</t>
        </is>
      </c>
      <c r="H23" s="36" t="inlineStr">
        <is>
          <t>Returns a structured validation/authorisation error; no crash, no partial write, no data leak.</t>
        </is>
      </c>
      <c r="I23" s="36" t="inlineStr">
        <is>
          <t>Request/response capture</t>
        </is>
      </c>
      <c r="J23" s="41" t="inlineStr">
        <is>
          <t>NOT RUN</t>
        </is>
      </c>
      <c r="K23" s="36" t="inlineStr">
        <is>
          <t>Claude (pending env)</t>
        </is>
      </c>
      <c r="L23" s="36" t="n"/>
      <c r="M23" s="36" t="n"/>
      <c r="N23" s="36" t="inlineStr">
        <is>
          <t>[T4 | Phase 4 | Claude (pending env)] Playwright/authenticated-API against running env. awaiting running staging URL + test accounts</t>
        </is>
      </c>
    </row>
    <row r="24" ht="43.25" customHeight="1" s="29">
      <c r="A24" s="37" t="inlineStr">
        <is>
          <t>MX-INPUT-0022</t>
        </is>
      </c>
      <c r="B24" s="54" t="inlineStr">
        <is>
          <t>P1</t>
        </is>
      </c>
      <c r="C24" s="37" t="inlineStr">
        <is>
          <t>Backend/Validation</t>
        </is>
      </c>
      <c r="D24" s="37" t="inlineStr">
        <is>
          <t>foxy-tutor / grounded-answer — Malformed UUID</t>
        </is>
      </c>
      <c r="E24" s="37" t="inlineStr">
        <is>
          <t>Confirms 'foxy-tutor / grounded-answer' rejects the 'malformed uuid' case at the boundary with a structured error, instead of crashing, hanging, or processing bad data. Validation gaps here cause corrupt data, leaks, or fraud depending on the endpoint.</t>
        </is>
      </c>
      <c r="F24" s="37" t="inlineStr">
        <is>
          <t>Ability to send crafted requests (proxy/API client) with a valid and invalid session.</t>
        </is>
      </c>
      <c r="G24" s="37" t="inlineStr">
        <is>
          <t>1) Against 'foxy-tutor / grounded-answer', send a non-UUID where a UUID is required. 2) Observe the response and any side effects.</t>
        </is>
      </c>
      <c r="H24" s="37" t="inlineStr">
        <is>
          <t>Returns a structured validation/authorisation error; no crash, no partial write, no data leak.</t>
        </is>
      </c>
      <c r="I24" s="37" t="inlineStr">
        <is>
          <t>Request/response capture</t>
        </is>
      </c>
      <c r="J24" s="43" t="inlineStr">
        <is>
          <t>NOT RUN</t>
        </is>
      </c>
      <c r="K24" s="37" t="inlineStr">
        <is>
          <t>Claude (pending env)</t>
        </is>
      </c>
      <c r="L24" s="37" t="n"/>
      <c r="M24" s="37" t="n"/>
      <c r="N24" s="37" t="inlineStr">
        <is>
          <t>[T4 | Phase 4 | Claude (pending env)] Playwright/authenticated-API against running env. awaiting running staging URL + test accounts</t>
        </is>
      </c>
    </row>
    <row r="25" ht="53.7" customHeight="1" s="29">
      <c r="A25" s="36" t="inlineStr">
        <is>
          <t>MX-INPUT-0023</t>
        </is>
      </c>
      <c r="B25" s="54" t="inlineStr">
        <is>
          <t>P1</t>
        </is>
      </c>
      <c r="C25" s="36" t="inlineStr">
        <is>
          <t>Backend/Validation</t>
        </is>
      </c>
      <c r="D25" s="36" t="inlineStr">
        <is>
          <t>foxy-tutor / grounded-answer — Missing required field</t>
        </is>
      </c>
      <c r="E25" s="36" t="inlineStr">
        <is>
          <t>Confirms 'foxy-tutor / grounded-answer' rejects the 'missing required field' case at the boundary with a structured error, instead of crashing, hanging, or processing bad data. Validation gaps here cause corrupt data, leaks, or fraud depending on the endpoint.</t>
        </is>
      </c>
      <c r="F25" s="36" t="inlineStr">
        <is>
          <t>Ability to send crafted requests (proxy/API client) with a valid and invalid session.</t>
        </is>
      </c>
      <c r="G25" s="36" t="inlineStr">
        <is>
          <t>1) Against 'foxy-tutor / grounded-answer', omit a required field. 2) Observe the response and any side effects.</t>
        </is>
      </c>
      <c r="H25" s="36" t="inlineStr">
        <is>
          <t>Returns a structured validation/authorisation error; no crash, no partial write, no data leak.</t>
        </is>
      </c>
      <c r="I25" s="36" t="inlineStr">
        <is>
          <t>Request/response capture</t>
        </is>
      </c>
      <c r="J25" s="41" t="inlineStr">
        <is>
          <t>NOT RUN</t>
        </is>
      </c>
      <c r="K25" s="36" t="inlineStr">
        <is>
          <t>Claude (pending env)</t>
        </is>
      </c>
      <c r="L25" s="36" t="n"/>
      <c r="M25" s="36" t="n"/>
      <c r="N25" s="36" t="inlineStr">
        <is>
          <t>[T4 | Phase 4 | Claude (pending env)] Playwright/authenticated-API against running env. awaiting running staging URL + test accounts</t>
        </is>
      </c>
    </row>
    <row r="26" ht="43.25" customHeight="1" s="29">
      <c r="A26" s="37" t="inlineStr">
        <is>
          <t>MX-INPUT-0024</t>
        </is>
      </c>
      <c r="B26" s="54" t="inlineStr">
        <is>
          <t>P1</t>
        </is>
      </c>
      <c r="C26" s="37" t="inlineStr">
        <is>
          <t>Backend/Validation</t>
        </is>
      </c>
      <c r="D26" s="37" t="inlineStr">
        <is>
          <t>foxy-tutor / grounded-answer — Wrong type</t>
        </is>
      </c>
      <c r="E26" s="37" t="inlineStr">
        <is>
          <t>Confirms 'foxy-tutor / grounded-answer' rejects the 'wrong type' case at the boundary with a structured error, instead of crashing, hanging, or processing bad data. Validation gaps here cause corrupt data, leaks, or fraud depending on the endpoint.</t>
        </is>
      </c>
      <c r="F26" s="37" t="inlineStr">
        <is>
          <t>Ability to send crafted requests (proxy/API client) with a valid and invalid session.</t>
        </is>
      </c>
      <c r="G26" s="37" t="inlineStr">
        <is>
          <t>1) Against 'foxy-tutor / grounded-answer', send a string where a number/enum is expected. 2) Observe the response and any side effects.</t>
        </is>
      </c>
      <c r="H26" s="37" t="inlineStr">
        <is>
          <t>Returns a structured validation/authorisation error; no crash, no partial write, no data leak.</t>
        </is>
      </c>
      <c r="I26" s="37" t="inlineStr">
        <is>
          <t>Request/response capture</t>
        </is>
      </c>
      <c r="J26" s="43" t="inlineStr">
        <is>
          <t>NOT RUN</t>
        </is>
      </c>
      <c r="K26" s="37" t="inlineStr">
        <is>
          <t>Claude (pending env)</t>
        </is>
      </c>
      <c r="L26" s="37" t="n"/>
      <c r="M26" s="37" t="n"/>
      <c r="N26" s="37" t="inlineStr">
        <is>
          <t>[T4 | Phase 4 | Claude (pending env)] Playwright/authenticated-API against running env. awaiting running staging URL + test accounts</t>
        </is>
      </c>
    </row>
    <row r="27" ht="43.25" customHeight="1" s="29">
      <c r="A27" s="36" t="inlineStr">
        <is>
          <t>MX-INPUT-0025</t>
        </is>
      </c>
      <c r="B27" s="54" t="inlineStr">
        <is>
          <t>P1</t>
        </is>
      </c>
      <c r="C27" s="36" t="inlineStr">
        <is>
          <t>Backend/Validation</t>
        </is>
      </c>
      <c r="D27" s="36" t="inlineStr">
        <is>
          <t>foxy-tutor / grounded-answer — Out-of-range value</t>
        </is>
      </c>
      <c r="E27" s="36" t="inlineStr">
        <is>
          <t>Confirms 'foxy-tutor / grounded-answer' rejects the 'out-of-range value' case at the boundary with a structured error, instead of crashing, hanging, or processing bad data. Validation gaps here cause corrupt data, leaks, or fraud depending on the endpoint.</t>
        </is>
      </c>
      <c r="F27" s="36" t="inlineStr">
        <is>
          <t>Ability to send crafted requests (proxy/API client) with a valid and invalid session.</t>
        </is>
      </c>
      <c r="G27" s="36" t="inlineStr">
        <is>
          <t>1) Against 'foxy-tutor / grounded-answer', send a negative/overflow/enum-violating value (e.g. negative amount, invalid grade). 2) Observe the response and any side effects.</t>
        </is>
      </c>
      <c r="H27" s="36" t="inlineStr">
        <is>
          <t>Returns a structured validation/authorisation error; no crash, no partial write, no data leak.</t>
        </is>
      </c>
      <c r="I27" s="36" t="inlineStr">
        <is>
          <t>Request/response capture</t>
        </is>
      </c>
      <c r="J27" s="41" t="inlineStr">
        <is>
          <t>NOT RUN</t>
        </is>
      </c>
      <c r="K27" s="36" t="inlineStr">
        <is>
          <t>Claude (pending env)</t>
        </is>
      </c>
      <c r="L27" s="36" t="n"/>
      <c r="M27" s="36" t="n"/>
      <c r="N27" s="36" t="inlineStr">
        <is>
          <t>[T4 | Phase 4 | Claude (pending env)] Playwright/authenticated-API against running env. awaiting running staging URL + test accounts</t>
        </is>
      </c>
    </row>
    <row r="28" ht="43.25" customHeight="1" s="29">
      <c r="A28" s="37" t="inlineStr">
        <is>
          <t>MX-INPUT-0026</t>
        </is>
      </c>
      <c r="B28" s="54" t="inlineStr">
        <is>
          <t>P1</t>
        </is>
      </c>
      <c r="C28" s="37" t="inlineStr">
        <is>
          <t>Backend/Validation</t>
        </is>
      </c>
      <c r="D28" s="37" t="inlineStr">
        <is>
          <t>foxy-tutor / grounded-answer — Oversized payload</t>
        </is>
      </c>
      <c r="E28" s="37" t="inlineStr">
        <is>
          <t>Confirms 'foxy-tutor / grounded-answer' rejects the 'oversized payload' case at the boundary with a structured error, instead of crashing, hanging, or processing bad data. Validation gaps here cause corrupt data, leaks, or fraud depending on the endpoint.</t>
        </is>
      </c>
      <c r="F28" s="37" t="inlineStr">
        <is>
          <t>Ability to send crafted requests (proxy/API client) with a valid and invalid session.</t>
        </is>
      </c>
      <c r="G28" s="37" t="inlineStr">
        <is>
          <t>1) Against 'foxy-tutor / grounded-answer', send an oversized/deeply-nested payload. 2) Observe the response and any side effects.</t>
        </is>
      </c>
      <c r="H28" s="37" t="inlineStr">
        <is>
          <t>Returns a structured validation/authorisation error; no crash, no partial write, no data leak.</t>
        </is>
      </c>
      <c r="I28" s="37" t="inlineStr">
        <is>
          <t>Request/response capture</t>
        </is>
      </c>
      <c r="J28" s="43" t="inlineStr">
        <is>
          <t>NOT RUN</t>
        </is>
      </c>
      <c r="K28" s="37" t="inlineStr">
        <is>
          <t>Claude (pending env)</t>
        </is>
      </c>
      <c r="L28" s="37" t="n"/>
      <c r="M28" s="37" t="n"/>
      <c r="N28" s="37" t="inlineStr">
        <is>
          <t>[T4 | Phase 4 | Claude (pending env)] Playwright/authenticated-API against running env. awaiting running staging URL + test accounts</t>
        </is>
      </c>
    </row>
    <row r="29" ht="43.25" customHeight="1" s="29">
      <c r="A29" s="36" t="inlineStr">
        <is>
          <t>MX-INPUT-0027</t>
        </is>
      </c>
      <c r="B29" s="54" t="inlineStr">
        <is>
          <t>P1</t>
        </is>
      </c>
      <c r="C29" s="36" t="inlineStr">
        <is>
          <t>Backend/Validation</t>
        </is>
      </c>
      <c r="D29" s="36" t="inlineStr">
        <is>
          <t>foxy-tutor / grounded-answer — Injection attempt</t>
        </is>
      </c>
      <c r="E29" s="36" t="inlineStr">
        <is>
          <t>Confirms 'foxy-tutor / grounded-answer' rejects the 'injection attempt' case at the boundary with a structured error, instead of crashing, hanging, or processing bad data. Validation gaps here cause corrupt data, leaks, or fraud depending on the endpoint.</t>
        </is>
      </c>
      <c r="F29" s="36" t="inlineStr">
        <is>
          <t>Ability to send crafted requests (proxy/API client) with a valid and invalid session.</t>
        </is>
      </c>
      <c r="G29" s="36" t="inlineStr">
        <is>
          <t>1) Against 'foxy-tutor / grounded-answer', send SQL/script metacharacters in string fields. 2) Observe the response and any side effects.</t>
        </is>
      </c>
      <c r="H29" s="36" t="inlineStr">
        <is>
          <t>Returns a structured validation/authorisation error; no crash, no partial write, no data leak.</t>
        </is>
      </c>
      <c r="I29" s="36" t="inlineStr">
        <is>
          <t>Request/response capture</t>
        </is>
      </c>
      <c r="J29" s="41" t="inlineStr">
        <is>
          <t>NOT RUN</t>
        </is>
      </c>
      <c r="K29" s="36" t="inlineStr">
        <is>
          <t>Claude (pending env)</t>
        </is>
      </c>
      <c r="L29" s="36" t="n"/>
      <c r="M29" s="36" t="n"/>
      <c r="N29" s="36" t="inlineStr">
        <is>
          <t>[T4 | Phase 4 | Claude (pending env)] Playwright/authenticated-API against running env. awaiting running staging URL + test accounts</t>
        </is>
      </c>
    </row>
    <row r="30" ht="53.7" customHeight="1" s="29">
      <c r="A30" s="37" t="inlineStr">
        <is>
          <t>MX-INPUT-0028</t>
        </is>
      </c>
      <c r="B30" s="54" t="inlineStr">
        <is>
          <t>P1</t>
        </is>
      </c>
      <c r="C30" s="37" t="inlineStr">
        <is>
          <t>Backend/Validation</t>
        </is>
      </c>
      <c r="D30" s="37" t="inlineStr">
        <is>
          <t>foxy-tutor / grounded-answer — Unauthorised caller</t>
        </is>
      </c>
      <c r="E30" s="37" t="inlineStr">
        <is>
          <t>Confirms 'foxy-tutor / grounded-answer' rejects the 'unauthorised caller' case at the boundary with a structured error, instead of crashing, hanging, or processing bad data. Validation gaps here cause corrupt data, leaks, or fraud depending on the endpoint.</t>
        </is>
      </c>
      <c r="F30" s="37" t="inlineStr">
        <is>
          <t>Ability to send crafted requests (proxy/API client) with a valid and invalid session.</t>
        </is>
      </c>
      <c r="G30" s="37" t="inlineStr">
        <is>
          <t>1) Against 'foxy-tutor / grounded-answer', call without a valid session / as the wrong role. 2) Observe the response and any side effects.</t>
        </is>
      </c>
      <c r="H30" s="37" t="inlineStr">
        <is>
          <t>Returns a structured validation/authorisation error; no crash, no partial write, no data leak.</t>
        </is>
      </c>
      <c r="I30" s="37" t="inlineStr">
        <is>
          <t>Request/response capture</t>
        </is>
      </c>
      <c r="J30" s="43" t="inlineStr">
        <is>
          <t>NOT RUN</t>
        </is>
      </c>
      <c r="K30" s="37" t="inlineStr">
        <is>
          <t>Claude (pending env)</t>
        </is>
      </c>
      <c r="L30" s="37" t="n"/>
      <c r="M30" s="37" t="n"/>
      <c r="N30" s="37" t="inlineStr">
        <is>
          <t>[T4 | Phase 4 | Claude (pending env)] Playwright/authenticated-API against running env. awaiting running staging URL + test accounts</t>
        </is>
      </c>
    </row>
    <row r="31" ht="43.25" customHeight="1" s="29">
      <c r="A31" s="36" t="inlineStr">
        <is>
          <t>MX-INPUT-0029</t>
        </is>
      </c>
      <c r="B31" s="54" t="inlineStr">
        <is>
          <t>P1</t>
        </is>
      </c>
      <c r="C31" s="36" t="inlineStr">
        <is>
          <t>Backend/Validation</t>
        </is>
      </c>
      <c r="D31" s="36" t="inlineStr">
        <is>
          <t>foxy 'Quiz me' serve — Malformed UUID</t>
        </is>
      </c>
      <c r="E31" s="36" t="inlineStr">
        <is>
          <t>Confirms 'foxy 'Quiz me' serve' rejects the 'malformed uuid' case at the boundary with a structured error, instead of crashing, hanging, or processing bad data. Validation gaps here cause corrupt data, leaks, or fraud depending on the endpoint.</t>
        </is>
      </c>
      <c r="F31" s="36" t="inlineStr">
        <is>
          <t>Ability to send crafted requests (proxy/API client) with a valid and invalid session.</t>
        </is>
      </c>
      <c r="G31" s="36" t="inlineStr">
        <is>
          <t>1) Against 'foxy 'Quiz me' serve', send a non-UUID where a UUID is required. 2) Observe the response and any side effects.</t>
        </is>
      </c>
      <c r="H31" s="36" t="inlineStr">
        <is>
          <t>Returns a structured validation/authorisation error; no crash, no partial write, no data leak.</t>
        </is>
      </c>
      <c r="I31" s="36" t="inlineStr">
        <is>
          <t>Request/response capture</t>
        </is>
      </c>
      <c r="J31" s="41" t="inlineStr">
        <is>
          <t>NOT RUN</t>
        </is>
      </c>
      <c r="K31" s="36" t="inlineStr">
        <is>
          <t>Claude (pending env)</t>
        </is>
      </c>
      <c r="L31" s="36" t="n"/>
      <c r="M31" s="36" t="n"/>
      <c r="N31" s="36" t="inlineStr">
        <is>
          <t>[T4 | Phase 4 | Claude (pending env)] Playwright/authenticated-API against running env. awaiting running staging URL + test accounts</t>
        </is>
      </c>
    </row>
    <row r="32" ht="43.25" customHeight="1" s="29">
      <c r="A32" s="37" t="inlineStr">
        <is>
          <t>MX-INPUT-0030</t>
        </is>
      </c>
      <c r="B32" s="54" t="inlineStr">
        <is>
          <t>P1</t>
        </is>
      </c>
      <c r="C32" s="37" t="inlineStr">
        <is>
          <t>Backend/Validation</t>
        </is>
      </c>
      <c r="D32" s="37" t="inlineStr">
        <is>
          <t>foxy 'Quiz me' serve — Missing required field</t>
        </is>
      </c>
      <c r="E32" s="37" t="inlineStr">
        <is>
          <t>Confirms 'foxy 'Quiz me' serve' rejects the 'missing required field' case at the boundary with a structured error, instead of crashing, hanging, or processing bad data. Validation gaps here cause corrupt data, leaks, or fraud depending on the endpoint.</t>
        </is>
      </c>
      <c r="F32" s="37" t="inlineStr">
        <is>
          <t>Ability to send crafted requests (proxy/API client) with a valid and invalid session.</t>
        </is>
      </c>
      <c r="G32" s="37" t="inlineStr">
        <is>
          <t>1) Against 'foxy 'Quiz me' serve', omit a required field. 2) Observe the response and any side effects.</t>
        </is>
      </c>
      <c r="H32" s="37" t="inlineStr">
        <is>
          <t>Returns a structured validation/authorisation error; no crash, no partial write, no data leak.</t>
        </is>
      </c>
      <c r="I32" s="37" t="inlineStr">
        <is>
          <t>Request/response capture</t>
        </is>
      </c>
      <c r="J32" s="43" t="inlineStr">
        <is>
          <t>NOT RUN</t>
        </is>
      </c>
      <c r="K32" s="37" t="inlineStr">
        <is>
          <t>Claude (pending env)</t>
        </is>
      </c>
      <c r="L32" s="37" t="n"/>
      <c r="M32" s="37" t="n"/>
      <c r="N32" s="37" t="inlineStr">
        <is>
          <t>[T4 | Phase 4 | Claude (pending env)] Playwright/authenticated-API against running env. awaiting running staging URL + test accounts</t>
        </is>
      </c>
    </row>
    <row r="33" ht="43.25" customHeight="1" s="29">
      <c r="A33" s="36" t="inlineStr">
        <is>
          <t>MX-INPUT-0031</t>
        </is>
      </c>
      <c r="B33" s="54" t="inlineStr">
        <is>
          <t>P1</t>
        </is>
      </c>
      <c r="C33" s="36" t="inlineStr">
        <is>
          <t>Backend/Validation</t>
        </is>
      </c>
      <c r="D33" s="36" t="inlineStr">
        <is>
          <t>foxy 'Quiz me' serve — Wrong type</t>
        </is>
      </c>
      <c r="E33" s="36" t="inlineStr">
        <is>
          <t>Confirms 'foxy 'Quiz me' serve' rejects the 'wrong type' case at the boundary with a structured error, instead of crashing, hanging, or processing bad data. Validation gaps here cause corrupt data, leaks, or fraud depending on the endpoint.</t>
        </is>
      </c>
      <c r="F33" s="36" t="inlineStr">
        <is>
          <t>Ability to send crafted requests (proxy/API client) with a valid and invalid session.</t>
        </is>
      </c>
      <c r="G33" s="36" t="inlineStr">
        <is>
          <t>1) Against 'foxy 'Quiz me' serve', send a string where a number/enum is expected. 2) Observe the response and any side effects.</t>
        </is>
      </c>
      <c r="H33" s="36" t="inlineStr">
        <is>
          <t>Returns a structured validation/authorisation error; no crash, no partial write, no data leak.</t>
        </is>
      </c>
      <c r="I33" s="36" t="inlineStr">
        <is>
          <t>Request/response capture</t>
        </is>
      </c>
      <c r="J33" s="41" t="inlineStr">
        <is>
          <t>NOT RUN</t>
        </is>
      </c>
      <c r="K33" s="36" t="inlineStr">
        <is>
          <t>Claude (pending env)</t>
        </is>
      </c>
      <c r="L33" s="36" t="n"/>
      <c r="M33" s="36" t="n"/>
      <c r="N33" s="36" t="inlineStr">
        <is>
          <t>[T4 | Phase 4 | Claude (pending env)] Playwright/authenticated-API against running env. awaiting running staging URL + test accounts</t>
        </is>
      </c>
    </row>
    <row r="34" ht="43.25" customHeight="1" s="29">
      <c r="A34" s="37" t="inlineStr">
        <is>
          <t>MX-INPUT-0032</t>
        </is>
      </c>
      <c r="B34" s="54" t="inlineStr">
        <is>
          <t>P1</t>
        </is>
      </c>
      <c r="C34" s="37" t="inlineStr">
        <is>
          <t>Backend/Validation</t>
        </is>
      </c>
      <c r="D34" s="37" t="inlineStr">
        <is>
          <t>foxy 'Quiz me' serve — Out-of-range value</t>
        </is>
      </c>
      <c r="E34" s="37" t="inlineStr">
        <is>
          <t>Confirms 'foxy 'Quiz me' serve' rejects the 'out-of-range value' case at the boundary with a structured error, instead of crashing, hanging, or processing bad data. Validation gaps here cause corrupt data, leaks, or fraud depending on the endpoint.</t>
        </is>
      </c>
      <c r="F34" s="37" t="inlineStr">
        <is>
          <t>Ability to send crafted requests (proxy/API client) with a valid and invalid session.</t>
        </is>
      </c>
      <c r="G34" s="37" t="inlineStr">
        <is>
          <t>1) Against 'foxy 'Quiz me' serve', send a negative/overflow/enum-violating value (e.g. negative amount, invalid grade). 2) Observe the response and any side effects.</t>
        </is>
      </c>
      <c r="H34" s="37" t="inlineStr">
        <is>
          <t>Returns a structured validation/authorisation error; no crash, no partial write, no data leak.</t>
        </is>
      </c>
      <c r="I34" s="37" t="inlineStr">
        <is>
          <t>Request/response capture</t>
        </is>
      </c>
      <c r="J34" s="43" t="inlineStr">
        <is>
          <t>NOT RUN</t>
        </is>
      </c>
      <c r="K34" s="37" t="inlineStr">
        <is>
          <t>Claude (pending env)</t>
        </is>
      </c>
      <c r="L34" s="37" t="n"/>
      <c r="M34" s="37" t="n"/>
      <c r="N34" s="37" t="inlineStr">
        <is>
          <t>[T4 | Phase 4 | Claude (pending env)] Playwright/authenticated-API against running env. awaiting running staging URL + test accounts</t>
        </is>
      </c>
    </row>
    <row r="35" ht="43.25" customHeight="1" s="29">
      <c r="A35" s="36" t="inlineStr">
        <is>
          <t>MX-INPUT-0033</t>
        </is>
      </c>
      <c r="B35" s="54" t="inlineStr">
        <is>
          <t>P1</t>
        </is>
      </c>
      <c r="C35" s="36" t="inlineStr">
        <is>
          <t>Backend/Validation</t>
        </is>
      </c>
      <c r="D35" s="36" t="inlineStr">
        <is>
          <t>foxy 'Quiz me' serve — Oversized payload</t>
        </is>
      </c>
      <c r="E35" s="36" t="inlineStr">
        <is>
          <t>Confirms 'foxy 'Quiz me' serve' rejects the 'oversized payload' case at the boundary with a structured error, instead of crashing, hanging, or processing bad data. Validation gaps here cause corrupt data, leaks, or fraud depending on the endpoint.</t>
        </is>
      </c>
      <c r="F35" s="36" t="inlineStr">
        <is>
          <t>Ability to send crafted requests (proxy/API client) with a valid and invalid session.</t>
        </is>
      </c>
      <c r="G35" s="36" t="inlineStr">
        <is>
          <t>1) Against 'foxy 'Quiz me' serve', send an oversized/deeply-nested payload. 2) Observe the response and any side effects.</t>
        </is>
      </c>
      <c r="H35" s="36" t="inlineStr">
        <is>
          <t>Returns a structured validation/authorisation error; no crash, no partial write, no data leak.</t>
        </is>
      </c>
      <c r="I35" s="36" t="inlineStr">
        <is>
          <t>Request/response capture</t>
        </is>
      </c>
      <c r="J35" s="41" t="inlineStr">
        <is>
          <t>NOT RUN</t>
        </is>
      </c>
      <c r="K35" s="36" t="inlineStr">
        <is>
          <t>Claude (pending env)</t>
        </is>
      </c>
      <c r="L35" s="36" t="n"/>
      <c r="M35" s="36" t="n"/>
      <c r="N35" s="36" t="inlineStr">
        <is>
          <t>[T4 | Phase 4 | Claude (pending env)] Playwright/authenticated-API against running env. awaiting running staging URL + test accounts</t>
        </is>
      </c>
    </row>
    <row r="36" ht="43.25" customHeight="1" s="29">
      <c r="A36" s="37" t="inlineStr">
        <is>
          <t>MX-INPUT-0034</t>
        </is>
      </c>
      <c r="B36" s="54" t="inlineStr">
        <is>
          <t>P1</t>
        </is>
      </c>
      <c r="C36" s="37" t="inlineStr">
        <is>
          <t>Backend/Validation</t>
        </is>
      </c>
      <c r="D36" s="37" t="inlineStr">
        <is>
          <t>foxy 'Quiz me' serve — Injection attempt</t>
        </is>
      </c>
      <c r="E36" s="37" t="inlineStr">
        <is>
          <t>Confirms 'foxy 'Quiz me' serve' rejects the 'injection attempt' case at the boundary with a structured error, instead of crashing, hanging, or processing bad data. Validation gaps here cause corrupt data, leaks, or fraud depending on the endpoint.</t>
        </is>
      </c>
      <c r="F36" s="37" t="inlineStr">
        <is>
          <t>Ability to send crafted requests (proxy/API client) with a valid and invalid session.</t>
        </is>
      </c>
      <c r="G36" s="37" t="inlineStr">
        <is>
          <t>1) Against 'foxy 'Quiz me' serve', send SQL/script metacharacters in string fields. 2) Observe the response and any side effects.</t>
        </is>
      </c>
      <c r="H36" s="37" t="inlineStr">
        <is>
          <t>Returns a structured validation/authorisation error; no crash, no partial write, no data leak.</t>
        </is>
      </c>
      <c r="I36" s="37" t="inlineStr">
        <is>
          <t>Request/response capture</t>
        </is>
      </c>
      <c r="J36" s="43" t="inlineStr">
        <is>
          <t>NOT RUN</t>
        </is>
      </c>
      <c r="K36" s="37" t="inlineStr">
        <is>
          <t>Claude (pending env)</t>
        </is>
      </c>
      <c r="L36" s="37" t="n"/>
      <c r="M36" s="37" t="n"/>
      <c r="N36" s="37" t="inlineStr">
        <is>
          <t>[T4 | Phase 4 | Claude (pending env)] Playwright/authenticated-API against running env. awaiting running staging URL + test accounts</t>
        </is>
      </c>
    </row>
    <row r="37" ht="43.25" customHeight="1" s="29">
      <c r="A37" s="36" t="inlineStr">
        <is>
          <t>MX-INPUT-0035</t>
        </is>
      </c>
      <c r="B37" s="54" t="inlineStr">
        <is>
          <t>P1</t>
        </is>
      </c>
      <c r="C37" s="36" t="inlineStr">
        <is>
          <t>Backend/Validation</t>
        </is>
      </c>
      <c r="D37" s="36" t="inlineStr">
        <is>
          <t>foxy 'Quiz me' serve — Unauthorised caller</t>
        </is>
      </c>
      <c r="E37" s="36" t="inlineStr">
        <is>
          <t>Confirms 'foxy 'Quiz me' serve' rejects the 'unauthorised caller' case at the boundary with a structured error, instead of crashing, hanging, or processing bad data. Validation gaps here cause corrupt data, leaks, or fraud depending on the endpoint.</t>
        </is>
      </c>
      <c r="F37" s="36" t="inlineStr">
        <is>
          <t>Ability to send crafted requests (proxy/API client) with a valid and invalid session.</t>
        </is>
      </c>
      <c r="G37" s="36" t="inlineStr">
        <is>
          <t>1) Against 'foxy 'Quiz me' serve', call without a valid session / as the wrong role. 2) Observe the response and any side effects.</t>
        </is>
      </c>
      <c r="H37" s="36" t="inlineStr">
        <is>
          <t>Returns a structured validation/authorisation error; no crash, no partial write, no data leak.</t>
        </is>
      </c>
      <c r="I37" s="36" t="inlineStr">
        <is>
          <t>Request/response capture</t>
        </is>
      </c>
      <c r="J37" s="41" t="inlineStr">
        <is>
          <t>NOT RUN</t>
        </is>
      </c>
      <c r="K37" s="36" t="inlineStr">
        <is>
          <t>Claude (pending env)</t>
        </is>
      </c>
      <c r="L37" s="36" t="n"/>
      <c r="M37" s="36" t="n"/>
      <c r="N37" s="36" t="inlineStr">
        <is>
          <t>[T4 | Phase 4 | Claude (pending env)] Playwright/authenticated-API against running env. awaiting running staging URL + test accounts</t>
        </is>
      </c>
    </row>
    <row r="38" ht="43.25" customHeight="1" s="29">
      <c r="A38" s="37" t="inlineStr">
        <is>
          <t>MX-INPUT-0036</t>
        </is>
      </c>
      <c r="B38" s="54" t="inlineStr">
        <is>
          <t>P1</t>
        </is>
      </c>
      <c r="C38" s="37" t="inlineStr">
        <is>
          <t>Backend/Validation</t>
        </is>
      </c>
      <c r="D38" s="37" t="inlineStr">
        <is>
          <t>diagnostic start — Malformed UUID</t>
        </is>
      </c>
      <c r="E38" s="37" t="inlineStr">
        <is>
          <t>Confirms 'diagnostic start' rejects the 'malformed uuid' case at the boundary with a structured error, instead of crashing, hanging, or processing bad data. Validation gaps here cause corrupt data, leaks, or fraud depending on the endpoint.</t>
        </is>
      </c>
      <c r="F38" s="37" t="inlineStr">
        <is>
          <t>Ability to send crafted requests (proxy/API client) with a valid and invalid session.</t>
        </is>
      </c>
      <c r="G38" s="37" t="inlineStr">
        <is>
          <t>1) Against 'diagnostic start', send a non-UUID where a UUID is required. 2) Observe the response and any side effects.</t>
        </is>
      </c>
      <c r="H38" s="37" t="inlineStr">
        <is>
          <t>Returns a structured validation/authorisation error; no crash, no partial write, no data leak.</t>
        </is>
      </c>
      <c r="I38" s="37" t="inlineStr">
        <is>
          <t>Request/response capture</t>
        </is>
      </c>
      <c r="J38" s="43" t="inlineStr">
        <is>
          <t>NOT RUN</t>
        </is>
      </c>
      <c r="K38" s="37" t="inlineStr">
        <is>
          <t>Claude (pending env)</t>
        </is>
      </c>
      <c r="L38" s="37" t="n"/>
      <c r="M38" s="37" t="n"/>
      <c r="N38" s="37" t="inlineStr">
        <is>
          <t>[T4 | Phase 4 | Claude (pending env)] Playwright/authenticated-API against running env. awaiting running staging URL + test accounts</t>
        </is>
      </c>
    </row>
    <row r="39" ht="43.25" customHeight="1" s="29">
      <c r="A39" s="36" t="inlineStr">
        <is>
          <t>MX-INPUT-0037</t>
        </is>
      </c>
      <c r="B39" s="54" t="inlineStr">
        <is>
          <t>P1</t>
        </is>
      </c>
      <c r="C39" s="36" t="inlineStr">
        <is>
          <t>Backend/Validation</t>
        </is>
      </c>
      <c r="D39" s="36" t="inlineStr">
        <is>
          <t>diagnostic start — Missing required field</t>
        </is>
      </c>
      <c r="E39" s="36" t="inlineStr">
        <is>
          <t>Confirms 'diagnostic start' rejects the 'missing required field' case at the boundary with a structured error, instead of crashing, hanging, or processing bad data. Validation gaps here cause corrupt data, leaks, or fraud depending on the endpoint.</t>
        </is>
      </c>
      <c r="F39" s="36" t="inlineStr">
        <is>
          <t>Ability to send crafted requests (proxy/API client) with a valid and invalid session.</t>
        </is>
      </c>
      <c r="G39" s="36" t="inlineStr">
        <is>
          <t>1) Against 'diagnostic start', omit a required field. 2) Observe the response and any side effects.</t>
        </is>
      </c>
      <c r="H39" s="36" t="inlineStr">
        <is>
          <t>Returns a structured validation/authorisation error; no crash, no partial write, no data leak.</t>
        </is>
      </c>
      <c r="I39" s="36" t="inlineStr">
        <is>
          <t>Request/response capture</t>
        </is>
      </c>
      <c r="J39" s="41" t="inlineStr">
        <is>
          <t>NOT RUN</t>
        </is>
      </c>
      <c r="K39" s="36" t="inlineStr">
        <is>
          <t>Claude (pending env)</t>
        </is>
      </c>
      <c r="L39" s="36" t="n"/>
      <c r="M39" s="36" t="n"/>
      <c r="N39" s="36" t="inlineStr">
        <is>
          <t>[T4 | Phase 4 | Claude (pending env)] Playwright/authenticated-API against running env. awaiting running staging URL + test accounts</t>
        </is>
      </c>
    </row>
    <row r="40" ht="43.25" customHeight="1" s="29">
      <c r="A40" s="37" t="inlineStr">
        <is>
          <t>MX-INPUT-0038</t>
        </is>
      </c>
      <c r="B40" s="54" t="inlineStr">
        <is>
          <t>P1</t>
        </is>
      </c>
      <c r="C40" s="37" t="inlineStr">
        <is>
          <t>Backend/Validation</t>
        </is>
      </c>
      <c r="D40" s="37" t="inlineStr">
        <is>
          <t>diagnostic start — Wrong type</t>
        </is>
      </c>
      <c r="E40" s="37" t="inlineStr">
        <is>
          <t>Confirms 'diagnostic start' rejects the 'wrong type' case at the boundary with a structured error, instead of crashing, hanging, or processing bad data. Validation gaps here cause corrupt data, leaks, or fraud depending on the endpoint.</t>
        </is>
      </c>
      <c r="F40" s="37" t="inlineStr">
        <is>
          <t>Ability to send crafted requests (proxy/API client) with a valid and invalid session.</t>
        </is>
      </c>
      <c r="G40" s="37" t="inlineStr">
        <is>
          <t>1) Against 'diagnostic start', send a string where a number/enum is expected. 2) Observe the response and any side effects.</t>
        </is>
      </c>
      <c r="H40" s="37" t="inlineStr">
        <is>
          <t>Returns a structured validation/authorisation error; no crash, no partial write, no data leak.</t>
        </is>
      </c>
      <c r="I40" s="37" t="inlineStr">
        <is>
          <t>Request/response capture</t>
        </is>
      </c>
      <c r="J40" s="43" t="inlineStr">
        <is>
          <t>NOT RUN</t>
        </is>
      </c>
      <c r="K40" s="37" t="inlineStr">
        <is>
          <t>Claude (pending env)</t>
        </is>
      </c>
      <c r="L40" s="37" t="n"/>
      <c r="M40" s="37" t="n"/>
      <c r="N40" s="37" t="inlineStr">
        <is>
          <t>[T4 | Phase 4 | Claude (pending env)] Playwright/authenticated-API against running env. awaiting running staging URL + test accounts</t>
        </is>
      </c>
    </row>
    <row r="41" ht="43.25" customHeight="1" s="29">
      <c r="A41" s="36" t="inlineStr">
        <is>
          <t>MX-INPUT-0039</t>
        </is>
      </c>
      <c r="B41" s="54" t="inlineStr">
        <is>
          <t>P1</t>
        </is>
      </c>
      <c r="C41" s="36" t="inlineStr">
        <is>
          <t>Backend/Validation</t>
        </is>
      </c>
      <c r="D41" s="36" t="inlineStr">
        <is>
          <t>diagnostic start — Out-of-range value</t>
        </is>
      </c>
      <c r="E41" s="36" t="inlineStr">
        <is>
          <t>Confirms 'diagnostic start' rejects the 'out-of-range value' case at the boundary with a structured error, instead of crashing, hanging, or processing bad data. Validation gaps here cause corrupt data, leaks, or fraud depending on the endpoint.</t>
        </is>
      </c>
      <c r="F41" s="36" t="inlineStr">
        <is>
          <t>Ability to send crafted requests (proxy/API client) with a valid and invalid session.</t>
        </is>
      </c>
      <c r="G41" s="36" t="inlineStr">
        <is>
          <t>1) Against 'diagnostic start', send a negative/overflow/enum-violating value (e.g. negative amount, invalid grade). 2) Observe the response and any side effects.</t>
        </is>
      </c>
      <c r="H41" s="36" t="inlineStr">
        <is>
          <t>Returns a structured validation/authorisation error; no crash, no partial write, no data leak.</t>
        </is>
      </c>
      <c r="I41" s="36" t="inlineStr">
        <is>
          <t>Request/response capture</t>
        </is>
      </c>
      <c r="J41" s="41" t="inlineStr">
        <is>
          <t>NOT RUN</t>
        </is>
      </c>
      <c r="K41" s="36" t="inlineStr">
        <is>
          <t>Claude (pending env)</t>
        </is>
      </c>
      <c r="L41" s="36" t="n"/>
      <c r="M41" s="36" t="n"/>
      <c r="N41" s="36" t="inlineStr">
        <is>
          <t>[T4 | Phase 4 | Claude (pending env)] Playwright/authenticated-API against running env. awaiting running staging URL + test accounts</t>
        </is>
      </c>
    </row>
    <row r="42" ht="43.25" customHeight="1" s="29">
      <c r="A42" s="37" t="inlineStr">
        <is>
          <t>MX-INPUT-0040</t>
        </is>
      </c>
      <c r="B42" s="54" t="inlineStr">
        <is>
          <t>P1</t>
        </is>
      </c>
      <c r="C42" s="37" t="inlineStr">
        <is>
          <t>Backend/Validation</t>
        </is>
      </c>
      <c r="D42" s="37" t="inlineStr">
        <is>
          <t>diagnostic start — Oversized payload</t>
        </is>
      </c>
      <c r="E42" s="37" t="inlineStr">
        <is>
          <t>Confirms 'diagnostic start' rejects the 'oversized payload' case at the boundary with a structured error, instead of crashing, hanging, or processing bad data. Validation gaps here cause corrupt data, leaks, or fraud depending on the endpoint.</t>
        </is>
      </c>
      <c r="F42" s="37" t="inlineStr">
        <is>
          <t>Ability to send crafted requests (proxy/API client) with a valid and invalid session.</t>
        </is>
      </c>
      <c r="G42" s="37" t="inlineStr">
        <is>
          <t>1) Against 'diagnostic start', send an oversized/deeply-nested payload. 2) Observe the response and any side effects.</t>
        </is>
      </c>
      <c r="H42" s="37" t="inlineStr">
        <is>
          <t>Returns a structured validation/authorisation error; no crash, no partial write, no data leak.</t>
        </is>
      </c>
      <c r="I42" s="37" t="inlineStr">
        <is>
          <t>Request/response capture</t>
        </is>
      </c>
      <c r="J42" s="43" t="inlineStr">
        <is>
          <t>NOT RUN</t>
        </is>
      </c>
      <c r="K42" s="37" t="inlineStr">
        <is>
          <t>Claude (pending env)</t>
        </is>
      </c>
      <c r="L42" s="37" t="n"/>
      <c r="M42" s="37" t="n"/>
      <c r="N42" s="37" t="inlineStr">
        <is>
          <t>[T4 | Phase 4 | Claude (pending env)] Playwright/authenticated-API against running env. awaiting running staging URL + test accounts</t>
        </is>
      </c>
    </row>
    <row r="43" ht="43.25" customHeight="1" s="29">
      <c r="A43" s="36" t="inlineStr">
        <is>
          <t>MX-INPUT-0041</t>
        </is>
      </c>
      <c r="B43" s="54" t="inlineStr">
        <is>
          <t>P1</t>
        </is>
      </c>
      <c r="C43" s="36" t="inlineStr">
        <is>
          <t>Backend/Validation</t>
        </is>
      </c>
      <c r="D43" s="36" t="inlineStr">
        <is>
          <t>diagnostic start — Injection attempt</t>
        </is>
      </c>
      <c r="E43" s="36" t="inlineStr">
        <is>
          <t>Confirms 'diagnostic start' rejects the 'injection attempt' case at the boundary with a structured error, instead of crashing, hanging, or processing bad data. Validation gaps here cause corrupt data, leaks, or fraud depending on the endpoint.</t>
        </is>
      </c>
      <c r="F43" s="36" t="inlineStr">
        <is>
          <t>Ability to send crafted requests (proxy/API client) with a valid and invalid session.</t>
        </is>
      </c>
      <c r="G43" s="36" t="inlineStr">
        <is>
          <t>1) Against 'diagnostic start', send SQL/script metacharacters in string fields. 2) Observe the response and any side effects.</t>
        </is>
      </c>
      <c r="H43" s="36" t="inlineStr">
        <is>
          <t>Returns a structured validation/authorisation error; no crash, no partial write, no data leak.</t>
        </is>
      </c>
      <c r="I43" s="36" t="inlineStr">
        <is>
          <t>Request/response capture</t>
        </is>
      </c>
      <c r="J43" s="41" t="inlineStr">
        <is>
          <t>NOT RUN</t>
        </is>
      </c>
      <c r="K43" s="36" t="inlineStr">
        <is>
          <t>Claude (pending env)</t>
        </is>
      </c>
      <c r="L43" s="36" t="n"/>
      <c r="M43" s="36" t="n"/>
      <c r="N43" s="36" t="inlineStr">
        <is>
          <t>[T4 | Phase 4 | Claude (pending env)] Playwright/authenticated-API against running env. awaiting running staging URL + test accounts</t>
        </is>
      </c>
    </row>
    <row r="44" ht="43.25" customHeight="1" s="29">
      <c r="A44" s="37" t="inlineStr">
        <is>
          <t>MX-INPUT-0042</t>
        </is>
      </c>
      <c r="B44" s="54" t="inlineStr">
        <is>
          <t>P1</t>
        </is>
      </c>
      <c r="C44" s="37" t="inlineStr">
        <is>
          <t>Backend/Validation</t>
        </is>
      </c>
      <c r="D44" s="37" t="inlineStr">
        <is>
          <t>diagnostic start — Unauthorised caller</t>
        </is>
      </c>
      <c r="E44" s="37" t="inlineStr">
        <is>
          <t>Confirms 'diagnostic start' rejects the 'unauthorised caller' case at the boundary with a structured error, instead of crashing, hanging, or processing bad data. Validation gaps here cause corrupt data, leaks, or fraud depending on the endpoint.</t>
        </is>
      </c>
      <c r="F44" s="37" t="inlineStr">
        <is>
          <t>Ability to send crafted requests (proxy/API client) with a valid and invalid session.</t>
        </is>
      </c>
      <c r="G44" s="37" t="inlineStr">
        <is>
          <t>1) Against 'diagnostic start', call without a valid session / as the wrong role. 2) Observe the response and any side effects.</t>
        </is>
      </c>
      <c r="H44" s="37" t="inlineStr">
        <is>
          <t>Returns a structured validation/authorisation error; no crash, no partial write, no data leak.</t>
        </is>
      </c>
      <c r="I44" s="37" t="inlineStr">
        <is>
          <t>Request/response capture</t>
        </is>
      </c>
      <c r="J44" s="43" t="inlineStr">
        <is>
          <t>NOT RUN</t>
        </is>
      </c>
      <c r="K44" s="37" t="inlineStr">
        <is>
          <t>Claude (pending env)</t>
        </is>
      </c>
      <c r="L44" s="37" t="n"/>
      <c r="M44" s="37" t="n"/>
      <c r="N44" s="37" t="inlineStr">
        <is>
          <t>[T4 | Phase 4 | Claude (pending env)] Playwright/authenticated-API against running env. awaiting running staging URL + test accounts</t>
        </is>
      </c>
    </row>
    <row r="45" ht="43.25" customHeight="1" s="29">
      <c r="A45" s="36" t="inlineStr">
        <is>
          <t>MX-INPUT-0043</t>
        </is>
      </c>
      <c r="B45" s="54" t="inlineStr">
        <is>
          <t>P1</t>
        </is>
      </c>
      <c r="C45" s="36" t="inlineStr">
        <is>
          <t>Backend/Validation</t>
        </is>
      </c>
      <c r="D45" s="36" t="inlineStr">
        <is>
          <t>mock-exam compose — Malformed UUID</t>
        </is>
      </c>
      <c r="E45" s="36" t="inlineStr">
        <is>
          <t>Confirms 'mock-exam compose' rejects the 'malformed uuid' case at the boundary with a structured error, instead of crashing, hanging, or processing bad data. Validation gaps here cause corrupt data, leaks, or fraud depending on the endpoint.</t>
        </is>
      </c>
      <c r="F45" s="36" t="inlineStr">
        <is>
          <t>Ability to send crafted requests (proxy/API client) with a valid and invalid session.</t>
        </is>
      </c>
      <c r="G45" s="36" t="inlineStr">
        <is>
          <t>1) Against 'mock-exam compose', send a non-UUID where a UUID is required. 2) Observe the response and any side effects.</t>
        </is>
      </c>
      <c r="H45" s="36" t="inlineStr">
        <is>
          <t>Returns a structured validation/authorisation error; no crash, no partial write, no data leak.</t>
        </is>
      </c>
      <c r="I45" s="36" t="inlineStr">
        <is>
          <t>Request/response capture</t>
        </is>
      </c>
      <c r="J45" s="41" t="inlineStr">
        <is>
          <t>NOT RUN</t>
        </is>
      </c>
      <c r="K45" s="36" t="inlineStr">
        <is>
          <t>Claude (pending env)</t>
        </is>
      </c>
      <c r="L45" s="36" t="n"/>
      <c r="M45" s="36" t="n"/>
      <c r="N45" s="36" t="inlineStr">
        <is>
          <t>[T4 | Phase 4 | Claude (pending env)] Playwright/authenticated-API against running env. awaiting running staging URL + test accounts</t>
        </is>
      </c>
    </row>
    <row r="46" ht="43.25" customHeight="1" s="29">
      <c r="A46" s="37" t="inlineStr">
        <is>
          <t>MX-INPUT-0044</t>
        </is>
      </c>
      <c r="B46" s="54" t="inlineStr">
        <is>
          <t>P1</t>
        </is>
      </c>
      <c r="C46" s="37" t="inlineStr">
        <is>
          <t>Backend/Validation</t>
        </is>
      </c>
      <c r="D46" s="37" t="inlineStr">
        <is>
          <t>mock-exam compose — Missing required field</t>
        </is>
      </c>
      <c r="E46" s="37" t="inlineStr">
        <is>
          <t>Confirms 'mock-exam compose' rejects the 'missing required field' case at the boundary with a structured error, instead of crashing, hanging, or processing bad data. Validation gaps here cause corrupt data, leaks, or fraud depending on the endpoint.</t>
        </is>
      </c>
      <c r="F46" s="37" t="inlineStr">
        <is>
          <t>Ability to send crafted requests (proxy/API client) with a valid and invalid session.</t>
        </is>
      </c>
      <c r="G46" s="37" t="inlineStr">
        <is>
          <t>1) Against 'mock-exam compose', omit a required field. 2) Observe the response and any side effects.</t>
        </is>
      </c>
      <c r="H46" s="37" t="inlineStr">
        <is>
          <t>Returns a structured validation/authorisation error; no crash, no partial write, no data leak.</t>
        </is>
      </c>
      <c r="I46" s="37" t="inlineStr">
        <is>
          <t>Request/response capture</t>
        </is>
      </c>
      <c r="J46" s="43" t="inlineStr">
        <is>
          <t>NOT RUN</t>
        </is>
      </c>
      <c r="K46" s="37" t="inlineStr">
        <is>
          <t>Claude (pending env)</t>
        </is>
      </c>
      <c r="L46" s="37" t="n"/>
      <c r="M46" s="37" t="n"/>
      <c r="N46" s="37" t="inlineStr">
        <is>
          <t>[T4 | Phase 4 | Claude (pending env)] Playwright/authenticated-API against running env. awaiting running staging URL + test accounts</t>
        </is>
      </c>
    </row>
    <row r="47" ht="43.25" customHeight="1" s="29">
      <c r="A47" s="36" t="inlineStr">
        <is>
          <t>MX-INPUT-0045</t>
        </is>
      </c>
      <c r="B47" s="54" t="inlineStr">
        <is>
          <t>P1</t>
        </is>
      </c>
      <c r="C47" s="36" t="inlineStr">
        <is>
          <t>Backend/Validation</t>
        </is>
      </c>
      <c r="D47" s="36" t="inlineStr">
        <is>
          <t>mock-exam compose — Wrong type</t>
        </is>
      </c>
      <c r="E47" s="36" t="inlineStr">
        <is>
          <t>Confirms 'mock-exam compose' rejects the 'wrong type' case at the boundary with a structured error, instead of crashing, hanging, or processing bad data. Validation gaps here cause corrupt data, leaks, or fraud depending on the endpoint.</t>
        </is>
      </c>
      <c r="F47" s="36" t="inlineStr">
        <is>
          <t>Ability to send crafted requests (proxy/API client) with a valid and invalid session.</t>
        </is>
      </c>
      <c r="G47" s="36" t="inlineStr">
        <is>
          <t>1) Against 'mock-exam compose', send a string where a number/enum is expected. 2) Observe the response and any side effects.</t>
        </is>
      </c>
      <c r="H47" s="36" t="inlineStr">
        <is>
          <t>Returns a structured validation/authorisation error; no crash, no partial write, no data leak.</t>
        </is>
      </c>
      <c r="I47" s="36" t="inlineStr">
        <is>
          <t>Request/response capture</t>
        </is>
      </c>
      <c r="J47" s="41" t="inlineStr">
        <is>
          <t>NOT RUN</t>
        </is>
      </c>
      <c r="K47" s="36" t="inlineStr">
        <is>
          <t>Claude (pending env)</t>
        </is>
      </c>
      <c r="L47" s="36" t="n"/>
      <c r="M47" s="36" t="n"/>
      <c r="N47" s="36" t="inlineStr">
        <is>
          <t>[T4 | Phase 4 | Claude (pending env)] Playwright/authenticated-API against running env. awaiting running staging URL + test accounts</t>
        </is>
      </c>
    </row>
    <row r="48" ht="43.25" customHeight="1" s="29">
      <c r="A48" s="37" t="inlineStr">
        <is>
          <t>MX-INPUT-0046</t>
        </is>
      </c>
      <c r="B48" s="54" t="inlineStr">
        <is>
          <t>P1</t>
        </is>
      </c>
      <c r="C48" s="37" t="inlineStr">
        <is>
          <t>Backend/Validation</t>
        </is>
      </c>
      <c r="D48" s="37" t="inlineStr">
        <is>
          <t>mock-exam compose — Out-of-range value</t>
        </is>
      </c>
      <c r="E48" s="37" t="inlineStr">
        <is>
          <t>Confirms 'mock-exam compose' rejects the 'out-of-range value' case at the boundary with a structured error, instead of crashing, hanging, or processing bad data. Validation gaps here cause corrupt data, leaks, or fraud depending on the endpoint.</t>
        </is>
      </c>
      <c r="F48" s="37" t="inlineStr">
        <is>
          <t>Ability to send crafted requests (proxy/API client) with a valid and invalid session.</t>
        </is>
      </c>
      <c r="G48" s="37" t="inlineStr">
        <is>
          <t>1) Against 'mock-exam compose', send a negative/overflow/enum-violating value (e.g. negative amount, invalid grade). 2) Observe the response and any side effects.</t>
        </is>
      </c>
      <c r="H48" s="37" t="inlineStr">
        <is>
          <t>Returns a structured validation/authorisation error; no crash, no partial write, no data leak.</t>
        </is>
      </c>
      <c r="I48" s="37" t="inlineStr">
        <is>
          <t>Request/response capture</t>
        </is>
      </c>
      <c r="J48" s="43" t="inlineStr">
        <is>
          <t>NOT RUN</t>
        </is>
      </c>
      <c r="K48" s="37" t="inlineStr">
        <is>
          <t>Claude (pending env)</t>
        </is>
      </c>
      <c r="L48" s="37" t="n"/>
      <c r="M48" s="37" t="n"/>
      <c r="N48" s="37" t="inlineStr">
        <is>
          <t>[T4 | Phase 4 | Claude (pending env)] Playwright/authenticated-API against running env. awaiting running staging URL + test accounts</t>
        </is>
      </c>
    </row>
    <row r="49" ht="43.25" customHeight="1" s="29">
      <c r="A49" s="36" t="inlineStr">
        <is>
          <t>MX-INPUT-0047</t>
        </is>
      </c>
      <c r="B49" s="54" t="inlineStr">
        <is>
          <t>P1</t>
        </is>
      </c>
      <c r="C49" s="36" t="inlineStr">
        <is>
          <t>Backend/Validation</t>
        </is>
      </c>
      <c r="D49" s="36" t="inlineStr">
        <is>
          <t>mock-exam compose — Oversized payload</t>
        </is>
      </c>
      <c r="E49" s="36" t="inlineStr">
        <is>
          <t>Confirms 'mock-exam compose' rejects the 'oversized payload' case at the boundary with a structured error, instead of crashing, hanging, or processing bad data. Validation gaps here cause corrupt data, leaks, or fraud depending on the endpoint.</t>
        </is>
      </c>
      <c r="F49" s="36" t="inlineStr">
        <is>
          <t>Ability to send crafted requests (proxy/API client) with a valid and invalid session.</t>
        </is>
      </c>
      <c r="G49" s="36" t="inlineStr">
        <is>
          <t>1) Against 'mock-exam compose', send an oversized/deeply-nested payload. 2) Observe the response and any side effects.</t>
        </is>
      </c>
      <c r="H49" s="36" t="inlineStr">
        <is>
          <t>Returns a structured validation/authorisation error; no crash, no partial write, no data leak.</t>
        </is>
      </c>
      <c r="I49" s="36" t="inlineStr">
        <is>
          <t>Request/response capture</t>
        </is>
      </c>
      <c r="J49" s="41" t="inlineStr">
        <is>
          <t>NOT RUN</t>
        </is>
      </c>
      <c r="K49" s="36" t="inlineStr">
        <is>
          <t>Claude (pending env)</t>
        </is>
      </c>
      <c r="L49" s="36" t="n"/>
      <c r="M49" s="36" t="n"/>
      <c r="N49" s="36" t="inlineStr">
        <is>
          <t>[T4 | Phase 4 | Claude (pending env)] Playwright/authenticated-API against running env. awaiting running staging URL + test accounts</t>
        </is>
      </c>
    </row>
    <row r="50" ht="43.25" customHeight="1" s="29">
      <c r="A50" s="37" t="inlineStr">
        <is>
          <t>MX-INPUT-0048</t>
        </is>
      </c>
      <c r="B50" s="54" t="inlineStr">
        <is>
          <t>P1</t>
        </is>
      </c>
      <c r="C50" s="37" t="inlineStr">
        <is>
          <t>Backend/Validation</t>
        </is>
      </c>
      <c r="D50" s="37" t="inlineStr">
        <is>
          <t>mock-exam compose — Injection attempt</t>
        </is>
      </c>
      <c r="E50" s="37" t="inlineStr">
        <is>
          <t>Confirms 'mock-exam compose' rejects the 'injection attempt' case at the boundary with a structured error, instead of crashing, hanging, or processing bad data. Validation gaps here cause corrupt data, leaks, or fraud depending on the endpoint.</t>
        </is>
      </c>
      <c r="F50" s="37" t="inlineStr">
        <is>
          <t>Ability to send crafted requests (proxy/API client) with a valid and invalid session.</t>
        </is>
      </c>
      <c r="G50" s="37" t="inlineStr">
        <is>
          <t>1) Against 'mock-exam compose', send SQL/script metacharacters in string fields. 2) Observe the response and any side effects.</t>
        </is>
      </c>
      <c r="H50" s="37" t="inlineStr">
        <is>
          <t>Returns a structured validation/authorisation error; no crash, no partial write, no data leak.</t>
        </is>
      </c>
      <c r="I50" s="37" t="inlineStr">
        <is>
          <t>Request/response capture</t>
        </is>
      </c>
      <c r="J50" s="43" t="inlineStr">
        <is>
          <t>NOT RUN</t>
        </is>
      </c>
      <c r="K50" s="37" t="inlineStr">
        <is>
          <t>Claude (pending env)</t>
        </is>
      </c>
      <c r="L50" s="37" t="n"/>
      <c r="M50" s="37" t="n"/>
      <c r="N50" s="37" t="inlineStr">
        <is>
          <t>[T4 | Phase 4 | Claude (pending env)] Playwright/authenticated-API against running env. awaiting running staging URL + test accounts</t>
        </is>
      </c>
    </row>
    <row r="51" ht="43.25" customHeight="1" s="29">
      <c r="A51" s="36" t="inlineStr">
        <is>
          <t>MX-INPUT-0049</t>
        </is>
      </c>
      <c r="B51" s="54" t="inlineStr">
        <is>
          <t>P1</t>
        </is>
      </c>
      <c r="C51" s="36" t="inlineStr">
        <is>
          <t>Backend/Validation</t>
        </is>
      </c>
      <c r="D51" s="36" t="inlineStr">
        <is>
          <t>mock-exam compose — Unauthorised caller</t>
        </is>
      </c>
      <c r="E51" s="36" t="inlineStr">
        <is>
          <t>Confirms 'mock-exam compose' rejects the 'unauthorised caller' case at the boundary with a structured error, instead of crashing, hanging, or processing bad data. Validation gaps here cause corrupt data, leaks, or fraud depending on the endpoint.</t>
        </is>
      </c>
      <c r="F51" s="36" t="inlineStr">
        <is>
          <t>Ability to send crafted requests (proxy/API client) with a valid and invalid session.</t>
        </is>
      </c>
      <c r="G51" s="36" t="inlineStr">
        <is>
          <t>1) Against 'mock-exam compose', call without a valid session / as the wrong role. 2) Observe the response and any side effects.</t>
        </is>
      </c>
      <c r="H51" s="36" t="inlineStr">
        <is>
          <t>Returns a structured validation/authorisation error; no crash, no partial write, no data leak.</t>
        </is>
      </c>
      <c r="I51" s="36" t="inlineStr">
        <is>
          <t>Request/response capture</t>
        </is>
      </c>
      <c r="J51" s="41" t="inlineStr">
        <is>
          <t>NOT RUN</t>
        </is>
      </c>
      <c r="K51" s="36" t="inlineStr">
        <is>
          <t>Claude (pending env)</t>
        </is>
      </c>
      <c r="L51" s="36" t="n"/>
      <c r="M51" s="36" t="n"/>
      <c r="N51" s="36" t="inlineStr">
        <is>
          <t>[T4 | Phase 4 | Claude (pending env)] Playwright/authenticated-API against running env. awaiting running staging URL + test accounts</t>
        </is>
      </c>
    </row>
    <row r="52" ht="53.7" customHeight="1" s="29">
      <c r="A52" s="37" t="inlineStr">
        <is>
          <t>MX-INPUT-0050</t>
        </is>
      </c>
      <c r="B52" s="54" t="inlineStr">
        <is>
          <t>P1</t>
        </is>
      </c>
      <c r="C52" s="37" t="inlineStr">
        <is>
          <t>Backend/Validation</t>
        </is>
      </c>
      <c r="D52" s="37" t="inlineStr">
        <is>
          <t>next-action resolver (/api/learner/next) — Malformed UUID</t>
        </is>
      </c>
      <c r="E52" s="37" t="inlineStr">
        <is>
          <t>Confirms 'next-action resolver (/api/learner/next)' rejects the 'malformed uuid' case at the boundary with a structured error, instead of crashing, hanging, or processing bad data. Validation gaps here cause corrupt data, leaks, or fraud depending on the endpoint.</t>
        </is>
      </c>
      <c r="F52" s="37" t="inlineStr">
        <is>
          <t>Ability to send crafted requests (proxy/API client) with a valid and invalid session.</t>
        </is>
      </c>
      <c r="G52" s="37" t="inlineStr">
        <is>
          <t>1) Against 'next-action resolver (/api/learner/next)', send a non-UUID where a UUID is required. 2) Observe the response and any side effects.</t>
        </is>
      </c>
      <c r="H52" s="37" t="inlineStr">
        <is>
          <t>Returns a structured validation/authorisation error; no crash, no partial write, no data leak.</t>
        </is>
      </c>
      <c r="I52" s="37" t="inlineStr">
        <is>
          <t>Request/response capture</t>
        </is>
      </c>
      <c r="J52" s="43" t="inlineStr">
        <is>
          <t>NOT RUN</t>
        </is>
      </c>
      <c r="K52" s="37" t="inlineStr">
        <is>
          <t>Claude (pending env)</t>
        </is>
      </c>
      <c r="L52" s="37" t="n"/>
      <c r="M52" s="37" t="n"/>
      <c r="N52" s="37" t="inlineStr">
        <is>
          <t>[T4 | Phase 4 | Claude (pending env)] Playwright/authenticated-API against running env. awaiting running staging URL + test accounts</t>
        </is>
      </c>
    </row>
    <row r="53" ht="53.7" customHeight="1" s="29">
      <c r="A53" s="36" t="inlineStr">
        <is>
          <t>MX-INPUT-0051</t>
        </is>
      </c>
      <c r="B53" s="54" t="inlineStr">
        <is>
          <t>P1</t>
        </is>
      </c>
      <c r="C53" s="36" t="inlineStr">
        <is>
          <t>Backend/Validation</t>
        </is>
      </c>
      <c r="D53" s="36" t="inlineStr">
        <is>
          <t>next-action resolver (/api/learner/next) — Missing required field</t>
        </is>
      </c>
      <c r="E53" s="36" t="inlineStr">
        <is>
          <t>Confirms 'next-action resolver (/api/learner/next)' rejects the 'missing required field' case at the boundary with a structured error, instead of crashing, hanging, or processing bad data. Validation gaps here cause corrupt data, leaks, or fraud depending on the endpoint.</t>
        </is>
      </c>
      <c r="F53" s="36" t="inlineStr">
        <is>
          <t>Ability to send crafted requests (proxy/API client) with a valid and invalid session.</t>
        </is>
      </c>
      <c r="G53" s="36" t="inlineStr">
        <is>
          <t>1) Against 'next-action resolver (/api/learner/next)', omit a required field. 2) Observe the response and any side effects.</t>
        </is>
      </c>
      <c r="H53" s="36" t="inlineStr">
        <is>
          <t>Returns a structured validation/authorisation error; no crash, no partial write, no data leak.</t>
        </is>
      </c>
      <c r="I53" s="36" t="inlineStr">
        <is>
          <t>Request/response capture</t>
        </is>
      </c>
      <c r="J53" s="41" t="inlineStr">
        <is>
          <t>NOT RUN</t>
        </is>
      </c>
      <c r="K53" s="36" t="inlineStr">
        <is>
          <t>Claude (pending env)</t>
        </is>
      </c>
      <c r="L53" s="36" t="n"/>
      <c r="M53" s="36" t="n"/>
      <c r="N53" s="36" t="inlineStr">
        <is>
          <t>[T4 | Phase 4 | Claude (pending env)] Playwright/authenticated-API against running env. awaiting running staging URL + test accounts</t>
        </is>
      </c>
    </row>
    <row r="54" ht="53.7" customHeight="1" s="29">
      <c r="A54" s="37" t="inlineStr">
        <is>
          <t>MX-INPUT-0052</t>
        </is>
      </c>
      <c r="B54" s="54" t="inlineStr">
        <is>
          <t>P1</t>
        </is>
      </c>
      <c r="C54" s="37" t="inlineStr">
        <is>
          <t>Backend/Validation</t>
        </is>
      </c>
      <c r="D54" s="37" t="inlineStr">
        <is>
          <t>next-action resolver (/api/learner/next) — Wrong type</t>
        </is>
      </c>
      <c r="E54" s="37" t="inlineStr">
        <is>
          <t>Confirms 'next-action resolver (/api/learner/next)' rejects the 'wrong type' case at the boundary with a structured error, instead of crashing, hanging, or processing bad data. Validation gaps here cause corrupt data, leaks, or fraud depending on the endpoint.</t>
        </is>
      </c>
      <c r="F54" s="37" t="inlineStr">
        <is>
          <t>Ability to send crafted requests (proxy/API client) with a valid and invalid session.</t>
        </is>
      </c>
      <c r="G54" s="37" t="inlineStr">
        <is>
          <t>1) Against 'next-action resolver (/api/learner/next)', send a string where a number/enum is expected. 2) Observe the response and any side effects.</t>
        </is>
      </c>
      <c r="H54" s="37" t="inlineStr">
        <is>
          <t>Returns a structured validation/authorisation error; no crash, no partial write, no data leak.</t>
        </is>
      </c>
      <c r="I54" s="37" t="inlineStr">
        <is>
          <t>Request/response capture</t>
        </is>
      </c>
      <c r="J54" s="43" t="inlineStr">
        <is>
          <t>NOT RUN</t>
        </is>
      </c>
      <c r="K54" s="37" t="inlineStr">
        <is>
          <t>Claude (pending env)</t>
        </is>
      </c>
      <c r="L54" s="37" t="n"/>
      <c r="M54" s="37" t="n"/>
      <c r="N54" s="37" t="inlineStr">
        <is>
          <t>[T4 | Phase 4 | Claude (pending env)] Playwright/authenticated-API against running env. awaiting running staging URL + test accounts</t>
        </is>
      </c>
    </row>
    <row r="55" ht="53.7" customHeight="1" s="29">
      <c r="A55" s="36" t="inlineStr">
        <is>
          <t>MX-INPUT-0053</t>
        </is>
      </c>
      <c r="B55" s="54" t="inlineStr">
        <is>
          <t>P1</t>
        </is>
      </c>
      <c r="C55" s="36" t="inlineStr">
        <is>
          <t>Backend/Validation</t>
        </is>
      </c>
      <c r="D55" s="36" t="inlineStr">
        <is>
          <t>next-action resolver (/api/learner/next) — Out-of-range value</t>
        </is>
      </c>
      <c r="E55" s="36" t="inlineStr">
        <is>
          <t>Confirms 'next-action resolver (/api/learner/next)' rejects the 'out-of-range value' case at the boundary with a structured error, instead of crashing, hanging, or processing bad data. Validation gaps here cause corrupt data, leaks, or fraud depending on the endpoint.</t>
        </is>
      </c>
      <c r="F55" s="36" t="inlineStr">
        <is>
          <t>Ability to send crafted requests (proxy/API client) with a valid and invalid session.</t>
        </is>
      </c>
      <c r="G55" s="36" t="inlineStr">
        <is>
          <t>1) Against 'next-action resolver (/api/learner/next)', send a negative/overflow/enum-violating value (e.g. negative amount, invalid grade). 2) Observe the response and any side effects.</t>
        </is>
      </c>
      <c r="H55" s="36" t="inlineStr">
        <is>
          <t>Returns a structured validation/authorisation error; no crash, no partial write, no data leak.</t>
        </is>
      </c>
      <c r="I55" s="36" t="inlineStr">
        <is>
          <t>Request/response capture</t>
        </is>
      </c>
      <c r="J55" s="41" t="inlineStr">
        <is>
          <t>NOT RUN</t>
        </is>
      </c>
      <c r="K55" s="36" t="inlineStr">
        <is>
          <t>Claude (pending env)</t>
        </is>
      </c>
      <c r="L55" s="36" t="n"/>
      <c r="M55" s="36" t="n"/>
      <c r="N55" s="36" t="inlineStr">
        <is>
          <t>[T4 | Phase 4 | Claude (pending env)] Playwright/authenticated-API against running env. awaiting running staging URL + test accounts</t>
        </is>
      </c>
    </row>
    <row r="56" ht="53.7" customHeight="1" s="29">
      <c r="A56" s="37" t="inlineStr">
        <is>
          <t>MX-INPUT-0054</t>
        </is>
      </c>
      <c r="B56" s="54" t="inlineStr">
        <is>
          <t>P1</t>
        </is>
      </c>
      <c r="C56" s="37" t="inlineStr">
        <is>
          <t>Backend/Validation</t>
        </is>
      </c>
      <c r="D56" s="37" t="inlineStr">
        <is>
          <t>next-action resolver (/api/learner/next) — Oversized payload</t>
        </is>
      </c>
      <c r="E56" s="37" t="inlineStr">
        <is>
          <t>Confirms 'next-action resolver (/api/learner/next)' rejects the 'oversized payload' case at the boundary with a structured error, instead of crashing, hanging, or processing bad data. Validation gaps here cause corrupt data, leaks, or fraud depending on the endpoint.</t>
        </is>
      </c>
      <c r="F56" s="37" t="inlineStr">
        <is>
          <t>Ability to send crafted requests (proxy/API client) with a valid and invalid session.</t>
        </is>
      </c>
      <c r="G56" s="37" t="inlineStr">
        <is>
          <t>1) Against 'next-action resolver (/api/learner/next)', send an oversized/deeply-nested payload. 2) Observe the response and any side effects.</t>
        </is>
      </c>
      <c r="H56" s="37" t="inlineStr">
        <is>
          <t>Returns a structured validation/authorisation error; no crash, no partial write, no data leak.</t>
        </is>
      </c>
      <c r="I56" s="37" t="inlineStr">
        <is>
          <t>Request/response capture</t>
        </is>
      </c>
      <c r="J56" s="43" t="inlineStr">
        <is>
          <t>NOT RUN</t>
        </is>
      </c>
      <c r="K56" s="37" t="inlineStr">
        <is>
          <t>Claude (pending env)</t>
        </is>
      </c>
      <c r="L56" s="37" t="n"/>
      <c r="M56" s="37" t="n"/>
      <c r="N56" s="37" t="inlineStr">
        <is>
          <t>[T4 | Phase 4 | Claude (pending env)] Playwright/authenticated-API against running env. awaiting running staging URL + test accounts</t>
        </is>
      </c>
    </row>
    <row r="57" ht="53.7" customHeight="1" s="29">
      <c r="A57" s="36" t="inlineStr">
        <is>
          <t>MX-INPUT-0055</t>
        </is>
      </c>
      <c r="B57" s="54" t="inlineStr">
        <is>
          <t>P1</t>
        </is>
      </c>
      <c r="C57" s="36" t="inlineStr">
        <is>
          <t>Backend/Validation</t>
        </is>
      </c>
      <c r="D57" s="36" t="inlineStr">
        <is>
          <t>next-action resolver (/api/learner/next) — Injection attempt</t>
        </is>
      </c>
      <c r="E57" s="36" t="inlineStr">
        <is>
          <t>Confirms 'next-action resolver (/api/learner/next)' rejects the 'injection attempt' case at the boundary with a structured error, instead of crashing, hanging, or processing bad data. Validation gaps here cause corrupt data, leaks, or fraud depending on the endpoint.</t>
        </is>
      </c>
      <c r="F57" s="36" t="inlineStr">
        <is>
          <t>Ability to send crafted requests (proxy/API client) with a valid and invalid session.</t>
        </is>
      </c>
      <c r="G57" s="36" t="inlineStr">
        <is>
          <t>1) Against 'next-action resolver (/api/learner/next)', send SQL/script metacharacters in string fields. 2) Observe the response and any side effects.</t>
        </is>
      </c>
      <c r="H57" s="36" t="inlineStr">
        <is>
          <t>Returns a structured validation/authorisation error; no crash, no partial write, no data leak.</t>
        </is>
      </c>
      <c r="I57" s="36" t="inlineStr">
        <is>
          <t>Request/response capture</t>
        </is>
      </c>
      <c r="J57" s="41" t="inlineStr">
        <is>
          <t>NOT RUN</t>
        </is>
      </c>
      <c r="K57" s="36" t="inlineStr">
        <is>
          <t>Claude (pending env)</t>
        </is>
      </c>
      <c r="L57" s="36" t="n"/>
      <c r="M57" s="36" t="n"/>
      <c r="N57" s="36" t="inlineStr">
        <is>
          <t>[T4 | Phase 4 | Claude (pending env)] Playwright/authenticated-API against running env. awaiting running staging URL + test accounts</t>
        </is>
      </c>
    </row>
    <row r="58" ht="53.7" customHeight="1" s="29">
      <c r="A58" s="37" t="inlineStr">
        <is>
          <t>MX-INPUT-0056</t>
        </is>
      </c>
      <c r="B58" s="54" t="inlineStr">
        <is>
          <t>P1</t>
        </is>
      </c>
      <c r="C58" s="37" t="inlineStr">
        <is>
          <t>Backend/Validation</t>
        </is>
      </c>
      <c r="D58" s="37" t="inlineStr">
        <is>
          <t>next-action resolver (/api/learner/next) — Unauthorised caller</t>
        </is>
      </c>
      <c r="E58" s="37" t="inlineStr">
        <is>
          <t>Confirms 'next-action resolver (/api/learner/next)' rejects the 'unauthorised caller' case at the boundary with a structured error, instead of crashing, hanging, or processing bad data. Validation gaps here cause corrupt data, leaks, or fraud depending on the endpoint.</t>
        </is>
      </c>
      <c r="F58" s="37" t="inlineStr">
        <is>
          <t>Ability to send crafted requests (proxy/API client) with a valid and invalid session.</t>
        </is>
      </c>
      <c r="G58" s="37" t="inlineStr">
        <is>
          <t>1) Against 'next-action resolver (/api/learner/next)', call without a valid session / as the wrong role. 2) Observe the response and any side effects.</t>
        </is>
      </c>
      <c r="H58" s="37" t="inlineStr">
        <is>
          <t>Returns a structured validation/authorisation error; no crash, no partial write, no data leak.</t>
        </is>
      </c>
      <c r="I58" s="37" t="inlineStr">
        <is>
          <t>Request/response capture</t>
        </is>
      </c>
      <c r="J58" s="43" t="inlineStr">
        <is>
          <t>NOT RUN</t>
        </is>
      </c>
      <c r="K58" s="37" t="inlineStr">
        <is>
          <t>Claude (pending env)</t>
        </is>
      </c>
      <c r="L58" s="37" t="n"/>
      <c r="M58" s="37" t="n"/>
      <c r="N58" s="37" t="inlineStr">
        <is>
          <t>[T4 | Phase 4 | Claude (pending env)] Playwright/authenticated-API against running env. awaiting running staging URL + test accounts</t>
        </is>
      </c>
    </row>
    <row r="59" ht="43.25" customHeight="1" s="29">
      <c r="A59" s="36" t="inlineStr">
        <is>
          <t>MX-INPUT-0057</t>
        </is>
      </c>
      <c r="B59" s="54" t="inlineStr">
        <is>
          <t>P1</t>
        </is>
      </c>
      <c r="C59" s="36" t="inlineStr">
        <is>
          <t>Backend/Validation</t>
        </is>
      </c>
      <c r="D59" s="36" t="inlineStr">
        <is>
          <t>parent link OTP — Malformed UUID</t>
        </is>
      </c>
      <c r="E59" s="36" t="inlineStr">
        <is>
          <t>Confirms 'parent link OTP' rejects the 'malformed uuid' case at the boundary with a structured error, instead of crashing, hanging, or processing bad data. Validation gaps here cause corrupt data, leaks, or fraud depending on the endpoint.</t>
        </is>
      </c>
      <c r="F59" s="36" t="inlineStr">
        <is>
          <t>Ability to send crafted requests (proxy/API client) with a valid and invalid session.</t>
        </is>
      </c>
      <c r="G59" s="36" t="inlineStr">
        <is>
          <t>1) Against 'parent link OTP', send a non-UUID where a UUID is required. 2) Observe the response and any side effects.</t>
        </is>
      </c>
      <c r="H59" s="36" t="inlineStr">
        <is>
          <t>Returns a structured validation/authorisation error; no crash, no partial write, no data leak.</t>
        </is>
      </c>
      <c r="I59" s="36" t="inlineStr">
        <is>
          <t>Request/response capture</t>
        </is>
      </c>
      <c r="J59" s="41" t="inlineStr">
        <is>
          <t>NOT RUN</t>
        </is>
      </c>
      <c r="K59" s="36" t="inlineStr">
        <is>
          <t>Claude (pending env)</t>
        </is>
      </c>
      <c r="L59" s="36" t="n"/>
      <c r="M59" s="36" t="n"/>
      <c r="N59" s="36" t="inlineStr">
        <is>
          <t>[T4 | Phase 4 | Claude (pending env)] Playwright/authenticated-API against running env. awaiting running staging URL + test accounts</t>
        </is>
      </c>
    </row>
    <row r="60" ht="43.25" customHeight="1" s="29">
      <c r="A60" s="37" t="inlineStr">
        <is>
          <t>MX-INPUT-0058</t>
        </is>
      </c>
      <c r="B60" s="54" t="inlineStr">
        <is>
          <t>P1</t>
        </is>
      </c>
      <c r="C60" s="37" t="inlineStr">
        <is>
          <t>Backend/Validation</t>
        </is>
      </c>
      <c r="D60" s="37" t="inlineStr">
        <is>
          <t>parent link OTP — Missing required field</t>
        </is>
      </c>
      <c r="E60" s="37" t="inlineStr">
        <is>
          <t>Confirms 'parent link OTP' rejects the 'missing required field' case at the boundary with a structured error, instead of crashing, hanging, or processing bad data. Validation gaps here cause corrupt data, leaks, or fraud depending on the endpoint.</t>
        </is>
      </c>
      <c r="F60" s="37" t="inlineStr">
        <is>
          <t>Ability to send crafted requests (proxy/API client) with a valid and invalid session.</t>
        </is>
      </c>
      <c r="G60" s="37" t="inlineStr">
        <is>
          <t>1) Against 'parent link OTP', omit a required field. 2) Observe the response and any side effects.</t>
        </is>
      </c>
      <c r="H60" s="37" t="inlineStr">
        <is>
          <t>Returns a structured validation/authorisation error; no crash, no partial write, no data leak.</t>
        </is>
      </c>
      <c r="I60" s="37" t="inlineStr">
        <is>
          <t>Request/response capture</t>
        </is>
      </c>
      <c r="J60" s="43" t="inlineStr">
        <is>
          <t>NOT RUN</t>
        </is>
      </c>
      <c r="K60" s="37" t="inlineStr">
        <is>
          <t>Claude (pending env)</t>
        </is>
      </c>
      <c r="L60" s="37" t="n"/>
      <c r="M60" s="37" t="n"/>
      <c r="N60" s="37" t="inlineStr">
        <is>
          <t>[T4 | Phase 4 | Claude (pending env)] Playwright/authenticated-API against running env. awaiting running staging URL + test accounts</t>
        </is>
      </c>
    </row>
    <row r="61" ht="43.25" customHeight="1" s="29">
      <c r="A61" s="36" t="inlineStr">
        <is>
          <t>MX-INPUT-0059</t>
        </is>
      </c>
      <c r="B61" s="54" t="inlineStr">
        <is>
          <t>P1</t>
        </is>
      </c>
      <c r="C61" s="36" t="inlineStr">
        <is>
          <t>Backend/Validation</t>
        </is>
      </c>
      <c r="D61" s="36" t="inlineStr">
        <is>
          <t>parent link OTP — Wrong type</t>
        </is>
      </c>
      <c r="E61" s="36" t="inlineStr">
        <is>
          <t>Confirms 'parent link OTP' rejects the 'wrong type' case at the boundary with a structured error, instead of crashing, hanging, or processing bad data. Validation gaps here cause corrupt data, leaks, or fraud depending on the endpoint.</t>
        </is>
      </c>
      <c r="F61" s="36" t="inlineStr">
        <is>
          <t>Ability to send crafted requests (proxy/API client) with a valid and invalid session.</t>
        </is>
      </c>
      <c r="G61" s="36" t="inlineStr">
        <is>
          <t>1) Against 'parent link OTP', send a string where a number/enum is expected. 2) Observe the response and any side effects.</t>
        </is>
      </c>
      <c r="H61" s="36" t="inlineStr">
        <is>
          <t>Returns a structured validation/authorisation error; no crash, no partial write, no data leak.</t>
        </is>
      </c>
      <c r="I61" s="36" t="inlineStr">
        <is>
          <t>Request/response capture</t>
        </is>
      </c>
      <c r="J61" s="41" t="inlineStr">
        <is>
          <t>NOT RUN</t>
        </is>
      </c>
      <c r="K61" s="36" t="inlineStr">
        <is>
          <t>Claude (pending env)</t>
        </is>
      </c>
      <c r="L61" s="36" t="n"/>
      <c r="M61" s="36" t="n"/>
      <c r="N61" s="36" t="inlineStr">
        <is>
          <t>[T4 | Phase 4 | Claude (pending env)] Playwright/authenticated-API against running env. awaiting running staging URL + test accounts</t>
        </is>
      </c>
    </row>
    <row r="62" ht="43.25" customHeight="1" s="29">
      <c r="A62" s="37" t="inlineStr">
        <is>
          <t>MX-INPUT-0060</t>
        </is>
      </c>
      <c r="B62" s="54" t="inlineStr">
        <is>
          <t>P1</t>
        </is>
      </c>
      <c r="C62" s="37" t="inlineStr">
        <is>
          <t>Backend/Validation</t>
        </is>
      </c>
      <c r="D62" s="37" t="inlineStr">
        <is>
          <t>parent link OTP — Out-of-range value</t>
        </is>
      </c>
      <c r="E62" s="37" t="inlineStr">
        <is>
          <t>Confirms 'parent link OTP' rejects the 'out-of-range value' case at the boundary with a structured error, instead of crashing, hanging, or processing bad data. Validation gaps here cause corrupt data, leaks, or fraud depending on the endpoint.</t>
        </is>
      </c>
      <c r="F62" s="37" t="inlineStr">
        <is>
          <t>Ability to send crafted requests (proxy/API client) with a valid and invalid session.</t>
        </is>
      </c>
      <c r="G62" s="37" t="inlineStr">
        <is>
          <t>1) Against 'parent link OTP', send a negative/overflow/enum-violating value (e.g. negative amount, invalid grade). 2) Observe the response and any side effects.</t>
        </is>
      </c>
      <c r="H62" s="37" t="inlineStr">
        <is>
          <t>Returns a structured validation/authorisation error; no crash, no partial write, no data leak.</t>
        </is>
      </c>
      <c r="I62" s="37" t="inlineStr">
        <is>
          <t>Request/response capture</t>
        </is>
      </c>
      <c r="J62" s="43" t="inlineStr">
        <is>
          <t>NOT RUN</t>
        </is>
      </c>
      <c r="K62" s="37" t="inlineStr">
        <is>
          <t>Claude (pending env)</t>
        </is>
      </c>
      <c r="L62" s="37" t="n"/>
      <c r="M62" s="37" t="n"/>
      <c r="N62" s="37" t="inlineStr">
        <is>
          <t>[T4 | Phase 4 | Claude (pending env)] Playwright/authenticated-API against running env. awaiting running staging URL + test accounts</t>
        </is>
      </c>
    </row>
    <row r="63" ht="43.25" customHeight="1" s="29">
      <c r="A63" s="36" t="inlineStr">
        <is>
          <t>MX-INPUT-0061</t>
        </is>
      </c>
      <c r="B63" s="54" t="inlineStr">
        <is>
          <t>P1</t>
        </is>
      </c>
      <c r="C63" s="36" t="inlineStr">
        <is>
          <t>Backend/Validation</t>
        </is>
      </c>
      <c r="D63" s="36" t="inlineStr">
        <is>
          <t>parent link OTP — Oversized payload</t>
        </is>
      </c>
      <c r="E63" s="36" t="inlineStr">
        <is>
          <t>Confirms 'parent link OTP' rejects the 'oversized payload' case at the boundary with a structured error, instead of crashing, hanging, or processing bad data. Validation gaps here cause corrupt data, leaks, or fraud depending on the endpoint.</t>
        </is>
      </c>
      <c r="F63" s="36" t="inlineStr">
        <is>
          <t>Ability to send crafted requests (proxy/API client) with a valid and invalid session.</t>
        </is>
      </c>
      <c r="G63" s="36" t="inlineStr">
        <is>
          <t>1) Against 'parent link OTP', send an oversized/deeply-nested payload. 2) Observe the response and any side effects.</t>
        </is>
      </c>
      <c r="H63" s="36" t="inlineStr">
        <is>
          <t>Returns a structured validation/authorisation error; no crash, no partial write, no data leak.</t>
        </is>
      </c>
      <c r="I63" s="36" t="inlineStr">
        <is>
          <t>Request/response capture</t>
        </is>
      </c>
      <c r="J63" s="41" t="inlineStr">
        <is>
          <t>NOT RUN</t>
        </is>
      </c>
      <c r="K63" s="36" t="inlineStr">
        <is>
          <t>Claude (pending env)</t>
        </is>
      </c>
      <c r="L63" s="36" t="n"/>
      <c r="M63" s="36" t="n"/>
      <c r="N63" s="36" t="inlineStr">
        <is>
          <t>[T4 | Phase 4 | Claude (pending env)] Playwright/authenticated-API against running env. awaiting running staging URL + test accounts</t>
        </is>
      </c>
    </row>
    <row r="64" ht="43.25" customHeight="1" s="29">
      <c r="A64" s="37" t="inlineStr">
        <is>
          <t>MX-INPUT-0062</t>
        </is>
      </c>
      <c r="B64" s="54" t="inlineStr">
        <is>
          <t>P1</t>
        </is>
      </c>
      <c r="C64" s="37" t="inlineStr">
        <is>
          <t>Backend/Validation</t>
        </is>
      </c>
      <c r="D64" s="37" t="inlineStr">
        <is>
          <t>parent link OTP — Injection attempt</t>
        </is>
      </c>
      <c r="E64" s="37" t="inlineStr">
        <is>
          <t>Confirms 'parent link OTP' rejects the 'injection attempt' case at the boundary with a structured error, instead of crashing, hanging, or processing bad data. Validation gaps here cause corrupt data, leaks, or fraud depending on the endpoint.</t>
        </is>
      </c>
      <c r="F64" s="37" t="inlineStr">
        <is>
          <t>Ability to send crafted requests (proxy/API client) with a valid and invalid session.</t>
        </is>
      </c>
      <c r="G64" s="37" t="inlineStr">
        <is>
          <t>1) Against 'parent link OTP', send SQL/script metacharacters in string fields. 2) Observe the response and any side effects.</t>
        </is>
      </c>
      <c r="H64" s="37" t="inlineStr">
        <is>
          <t>Returns a structured validation/authorisation error; no crash, no partial write, no data leak.</t>
        </is>
      </c>
      <c r="I64" s="37" t="inlineStr">
        <is>
          <t>Request/response capture</t>
        </is>
      </c>
      <c r="J64" s="43" t="inlineStr">
        <is>
          <t>NOT RUN</t>
        </is>
      </c>
      <c r="K64" s="37" t="inlineStr">
        <is>
          <t>Claude (pending env)</t>
        </is>
      </c>
      <c r="L64" s="37" t="n"/>
      <c r="M64" s="37" t="n"/>
      <c r="N64" s="37" t="inlineStr">
        <is>
          <t>[T4 | Phase 4 | Claude (pending env)] Playwright/authenticated-API against running env. awaiting running staging URL + test accounts</t>
        </is>
      </c>
    </row>
    <row r="65" ht="43.25" customHeight="1" s="29">
      <c r="A65" s="36" t="inlineStr">
        <is>
          <t>MX-INPUT-0063</t>
        </is>
      </c>
      <c r="B65" s="54" t="inlineStr">
        <is>
          <t>P1</t>
        </is>
      </c>
      <c r="C65" s="36" t="inlineStr">
        <is>
          <t>Backend/Validation</t>
        </is>
      </c>
      <c r="D65" s="36" t="inlineStr">
        <is>
          <t>parent link OTP — Unauthorised caller</t>
        </is>
      </c>
      <c r="E65" s="36" t="inlineStr">
        <is>
          <t>Confirms 'parent link OTP' rejects the 'unauthorised caller' case at the boundary with a structured error, instead of crashing, hanging, or processing bad data. Validation gaps here cause corrupt data, leaks, or fraud depending on the endpoint.</t>
        </is>
      </c>
      <c r="F65" s="36" t="inlineStr">
        <is>
          <t>Ability to send crafted requests (proxy/API client) with a valid and invalid session.</t>
        </is>
      </c>
      <c r="G65" s="36" t="inlineStr">
        <is>
          <t>1) Against 'parent link OTP', call without a valid session / as the wrong role. 2) Observe the response and any side effects.</t>
        </is>
      </c>
      <c r="H65" s="36" t="inlineStr">
        <is>
          <t>Returns a structured validation/authorisation error; no crash, no partial write, no data leak.</t>
        </is>
      </c>
      <c r="I65" s="36" t="inlineStr">
        <is>
          <t>Request/response capture</t>
        </is>
      </c>
      <c r="J65" s="41" t="inlineStr">
        <is>
          <t>NOT RUN</t>
        </is>
      </c>
      <c r="K65" s="36" t="inlineStr">
        <is>
          <t>Claude (pending env)</t>
        </is>
      </c>
      <c r="L65" s="36" t="n"/>
      <c r="M65" s="36" t="n"/>
      <c r="N65" s="36" t="inlineStr">
        <is>
          <t>[T4 | Phase 4 | Claude (pending env)] Playwright/authenticated-API against running env. awaiting running staging URL + test accounts</t>
        </is>
      </c>
    </row>
    <row r="66" ht="43.25" customHeight="1" s="29">
      <c r="A66" s="37" t="inlineStr">
        <is>
          <t>MX-INPUT-0064</t>
        </is>
      </c>
      <c r="B66" s="54" t="inlineStr">
        <is>
          <t>P1</t>
        </is>
      </c>
      <c r="C66" s="37" t="inlineStr">
        <is>
          <t>Backend/Validation</t>
        </is>
      </c>
      <c r="D66" s="37" t="inlineStr">
        <is>
          <t>parent consent write — Malformed UUID</t>
        </is>
      </c>
      <c r="E66" s="37" t="inlineStr">
        <is>
          <t>Confirms 'parent consent write' rejects the 'malformed uuid' case at the boundary with a structured error, instead of crashing, hanging, or processing bad data. Validation gaps here cause corrupt data, leaks, or fraud depending on the endpoint.</t>
        </is>
      </c>
      <c r="F66" s="37" t="inlineStr">
        <is>
          <t>Ability to send crafted requests (proxy/API client) with a valid and invalid session.</t>
        </is>
      </c>
      <c r="G66" s="37" t="inlineStr">
        <is>
          <t>1) Against 'parent consent write', send a non-UUID where a UUID is required. 2) Observe the response and any side effects.</t>
        </is>
      </c>
      <c r="H66" s="37" t="inlineStr">
        <is>
          <t>Returns a structured validation/authorisation error; no crash, no partial write, no data leak.</t>
        </is>
      </c>
      <c r="I66" s="37" t="inlineStr">
        <is>
          <t>Request/response capture</t>
        </is>
      </c>
      <c r="J66" s="43" t="inlineStr">
        <is>
          <t>NOT RUN</t>
        </is>
      </c>
      <c r="K66" s="37" t="inlineStr">
        <is>
          <t>Claude (pending env)</t>
        </is>
      </c>
      <c r="L66" s="37" t="n"/>
      <c r="M66" s="37" t="n"/>
      <c r="N66" s="37" t="inlineStr">
        <is>
          <t>[T4 | Phase 4 | Claude (pending env)] Playwright/authenticated-API against running env. awaiting running staging URL + test accounts</t>
        </is>
      </c>
    </row>
    <row r="67" ht="43.25" customHeight="1" s="29">
      <c r="A67" s="36" t="inlineStr">
        <is>
          <t>MX-INPUT-0065</t>
        </is>
      </c>
      <c r="B67" s="54" t="inlineStr">
        <is>
          <t>P1</t>
        </is>
      </c>
      <c r="C67" s="36" t="inlineStr">
        <is>
          <t>Backend/Validation</t>
        </is>
      </c>
      <c r="D67" s="36" t="inlineStr">
        <is>
          <t>parent consent write — Missing required field</t>
        </is>
      </c>
      <c r="E67" s="36" t="inlineStr">
        <is>
          <t>Confirms 'parent consent write' rejects the 'missing required field' case at the boundary with a structured error, instead of crashing, hanging, or processing bad data. Validation gaps here cause corrupt data, leaks, or fraud depending on the endpoint.</t>
        </is>
      </c>
      <c r="F67" s="36" t="inlineStr">
        <is>
          <t>Ability to send crafted requests (proxy/API client) with a valid and invalid session.</t>
        </is>
      </c>
      <c r="G67" s="36" t="inlineStr">
        <is>
          <t>1) Against 'parent consent write', omit a required field. 2) Observe the response and any side effects.</t>
        </is>
      </c>
      <c r="H67" s="36" t="inlineStr">
        <is>
          <t>Returns a structured validation/authorisation error; no crash, no partial write, no data leak.</t>
        </is>
      </c>
      <c r="I67" s="36" t="inlineStr">
        <is>
          <t>Request/response capture</t>
        </is>
      </c>
      <c r="J67" s="41" t="inlineStr">
        <is>
          <t>NOT RUN</t>
        </is>
      </c>
      <c r="K67" s="36" t="inlineStr">
        <is>
          <t>Claude (pending env)</t>
        </is>
      </c>
      <c r="L67" s="36" t="n"/>
      <c r="M67" s="36" t="n"/>
      <c r="N67" s="36" t="inlineStr">
        <is>
          <t>[T4 | Phase 4 | Claude (pending env)] Playwright/authenticated-API against running env. awaiting running staging URL + test accounts</t>
        </is>
      </c>
    </row>
    <row r="68" ht="43.25" customHeight="1" s="29">
      <c r="A68" s="37" t="inlineStr">
        <is>
          <t>MX-INPUT-0066</t>
        </is>
      </c>
      <c r="B68" s="54" t="inlineStr">
        <is>
          <t>P1</t>
        </is>
      </c>
      <c r="C68" s="37" t="inlineStr">
        <is>
          <t>Backend/Validation</t>
        </is>
      </c>
      <c r="D68" s="37" t="inlineStr">
        <is>
          <t>parent consent write — Wrong type</t>
        </is>
      </c>
      <c r="E68" s="37" t="inlineStr">
        <is>
          <t>Confirms 'parent consent write' rejects the 'wrong type' case at the boundary with a structured error, instead of crashing, hanging, or processing bad data. Validation gaps here cause corrupt data, leaks, or fraud depending on the endpoint.</t>
        </is>
      </c>
      <c r="F68" s="37" t="inlineStr">
        <is>
          <t>Ability to send crafted requests (proxy/API client) with a valid and invalid session.</t>
        </is>
      </c>
      <c r="G68" s="37" t="inlineStr">
        <is>
          <t>1) Against 'parent consent write', send a string where a number/enum is expected. 2) Observe the response and any side effects.</t>
        </is>
      </c>
      <c r="H68" s="37" t="inlineStr">
        <is>
          <t>Returns a structured validation/authorisation error; no crash, no partial write, no data leak.</t>
        </is>
      </c>
      <c r="I68" s="37" t="inlineStr">
        <is>
          <t>Request/response capture</t>
        </is>
      </c>
      <c r="J68" s="43" t="inlineStr">
        <is>
          <t>NOT RUN</t>
        </is>
      </c>
      <c r="K68" s="37" t="inlineStr">
        <is>
          <t>Claude (pending env)</t>
        </is>
      </c>
      <c r="L68" s="37" t="n"/>
      <c r="M68" s="37" t="n"/>
      <c r="N68" s="37" t="inlineStr">
        <is>
          <t>[T4 | Phase 4 | Claude (pending env)] Playwright/authenticated-API against running env. awaiting running staging URL + test accounts</t>
        </is>
      </c>
    </row>
    <row r="69" ht="43.25" customHeight="1" s="29">
      <c r="A69" s="36" t="inlineStr">
        <is>
          <t>MX-INPUT-0067</t>
        </is>
      </c>
      <c r="B69" s="54" t="inlineStr">
        <is>
          <t>P1</t>
        </is>
      </c>
      <c r="C69" s="36" t="inlineStr">
        <is>
          <t>Backend/Validation</t>
        </is>
      </c>
      <c r="D69" s="36" t="inlineStr">
        <is>
          <t>parent consent write — Out-of-range value</t>
        </is>
      </c>
      <c r="E69" s="36" t="inlineStr">
        <is>
          <t>Confirms 'parent consent write' rejects the 'out-of-range value' case at the boundary with a structured error, instead of crashing, hanging, or processing bad data. Validation gaps here cause corrupt data, leaks, or fraud depending on the endpoint.</t>
        </is>
      </c>
      <c r="F69" s="36" t="inlineStr">
        <is>
          <t>Ability to send crafted requests (proxy/API client) with a valid and invalid session.</t>
        </is>
      </c>
      <c r="G69" s="36" t="inlineStr">
        <is>
          <t>1) Against 'parent consent write', send a negative/overflow/enum-violating value (e.g. negative amount, invalid grade). 2) Observe the response and any side effects.</t>
        </is>
      </c>
      <c r="H69" s="36" t="inlineStr">
        <is>
          <t>Returns a structured validation/authorisation error; no crash, no partial write, no data leak.</t>
        </is>
      </c>
      <c r="I69" s="36" t="inlineStr">
        <is>
          <t>Request/response capture</t>
        </is>
      </c>
      <c r="J69" s="41" t="inlineStr">
        <is>
          <t>NOT RUN</t>
        </is>
      </c>
      <c r="K69" s="36" t="inlineStr">
        <is>
          <t>Claude (pending env)</t>
        </is>
      </c>
      <c r="L69" s="36" t="n"/>
      <c r="M69" s="36" t="n"/>
      <c r="N69" s="36" t="inlineStr">
        <is>
          <t>[T4 | Phase 4 | Claude (pending env)] Playwright/authenticated-API against running env. awaiting running staging URL + test accounts</t>
        </is>
      </c>
    </row>
    <row r="70" ht="43.25" customHeight="1" s="29">
      <c r="A70" s="37" t="inlineStr">
        <is>
          <t>MX-INPUT-0068</t>
        </is>
      </c>
      <c r="B70" s="54" t="inlineStr">
        <is>
          <t>P1</t>
        </is>
      </c>
      <c r="C70" s="37" t="inlineStr">
        <is>
          <t>Backend/Validation</t>
        </is>
      </c>
      <c r="D70" s="37" t="inlineStr">
        <is>
          <t>parent consent write — Oversized payload</t>
        </is>
      </c>
      <c r="E70" s="37" t="inlineStr">
        <is>
          <t>Confirms 'parent consent write' rejects the 'oversized payload' case at the boundary with a structured error, instead of crashing, hanging, or processing bad data. Validation gaps here cause corrupt data, leaks, or fraud depending on the endpoint.</t>
        </is>
      </c>
      <c r="F70" s="37" t="inlineStr">
        <is>
          <t>Ability to send crafted requests (proxy/API client) with a valid and invalid session.</t>
        </is>
      </c>
      <c r="G70" s="37" t="inlineStr">
        <is>
          <t>1) Against 'parent consent write', send an oversized/deeply-nested payload. 2) Observe the response and any side effects.</t>
        </is>
      </c>
      <c r="H70" s="37" t="inlineStr">
        <is>
          <t>Returns a structured validation/authorisation error; no crash, no partial write, no data leak.</t>
        </is>
      </c>
      <c r="I70" s="37" t="inlineStr">
        <is>
          <t>Request/response capture</t>
        </is>
      </c>
      <c r="J70" s="43" t="inlineStr">
        <is>
          <t>NOT RUN</t>
        </is>
      </c>
      <c r="K70" s="37" t="inlineStr">
        <is>
          <t>Claude (pending env)</t>
        </is>
      </c>
      <c r="L70" s="37" t="n"/>
      <c r="M70" s="37" t="n"/>
      <c r="N70" s="37" t="inlineStr">
        <is>
          <t>[T4 | Phase 4 | Claude (pending env)] Playwright/authenticated-API against running env. awaiting running staging URL + test accounts</t>
        </is>
      </c>
    </row>
    <row r="71" ht="43.25" customHeight="1" s="29">
      <c r="A71" s="36" t="inlineStr">
        <is>
          <t>MX-INPUT-0069</t>
        </is>
      </c>
      <c r="B71" s="54" t="inlineStr">
        <is>
          <t>P1</t>
        </is>
      </c>
      <c r="C71" s="36" t="inlineStr">
        <is>
          <t>Backend/Validation</t>
        </is>
      </c>
      <c r="D71" s="36" t="inlineStr">
        <is>
          <t>parent consent write — Injection attempt</t>
        </is>
      </c>
      <c r="E71" s="36" t="inlineStr">
        <is>
          <t>Confirms 'parent consent write' rejects the 'injection attempt' case at the boundary with a structured error, instead of crashing, hanging, or processing bad data. Validation gaps here cause corrupt data, leaks, or fraud depending on the endpoint.</t>
        </is>
      </c>
      <c r="F71" s="36" t="inlineStr">
        <is>
          <t>Ability to send crafted requests (proxy/API client) with a valid and invalid session.</t>
        </is>
      </c>
      <c r="G71" s="36" t="inlineStr">
        <is>
          <t>1) Against 'parent consent write', send SQL/script metacharacters in string fields. 2) Observe the response and any side effects.</t>
        </is>
      </c>
      <c r="H71" s="36" t="inlineStr">
        <is>
          <t>Returns a structured validation/authorisation error; no crash, no partial write, no data leak.</t>
        </is>
      </c>
      <c r="I71" s="36" t="inlineStr">
        <is>
          <t>Request/response capture</t>
        </is>
      </c>
      <c r="J71" s="41" t="inlineStr">
        <is>
          <t>NOT RUN</t>
        </is>
      </c>
      <c r="K71" s="36" t="inlineStr">
        <is>
          <t>Claude (pending env)</t>
        </is>
      </c>
      <c r="L71" s="36" t="n"/>
      <c r="M71" s="36" t="n"/>
      <c r="N71" s="36" t="inlineStr">
        <is>
          <t>[T4 | Phase 4 | Claude (pending env)] Playwright/authenticated-API against running env. awaiting running staging URL + test accounts</t>
        </is>
      </c>
    </row>
    <row r="72" ht="43.25" customHeight="1" s="29">
      <c r="A72" s="37" t="inlineStr">
        <is>
          <t>MX-INPUT-0070</t>
        </is>
      </c>
      <c r="B72" s="53" t="inlineStr">
        <is>
          <t>P0</t>
        </is>
      </c>
      <c r="C72" s="37" t="inlineStr">
        <is>
          <t>Backend/Validation</t>
        </is>
      </c>
      <c r="D72" s="37" t="inlineStr">
        <is>
          <t>parent consent write — Unauthorised caller</t>
        </is>
      </c>
      <c r="E72" s="37" t="inlineStr">
        <is>
          <t>Confirms 'parent consent write' rejects the 'unauthorised caller' case at the boundary with a structured error, instead of crashing, hanging, or processing bad data. Validation gaps here cause corrupt data, leaks, or fraud depending on the endpoint.</t>
        </is>
      </c>
      <c r="F72" s="37" t="inlineStr">
        <is>
          <t>Ability to send crafted requests (proxy/API client) with a valid and invalid session.</t>
        </is>
      </c>
      <c r="G72" s="37" t="inlineStr">
        <is>
          <t>1) Against 'parent consent write', call without a valid session / as the wrong role. 2) Observe the response and any side effects.</t>
        </is>
      </c>
      <c r="H72" s="37" t="inlineStr">
        <is>
          <t>Returns a structured validation/authorisation error; no crash, no partial write, no data leak.</t>
        </is>
      </c>
      <c r="I72" s="37" t="inlineStr">
        <is>
          <t>Request/response capture</t>
        </is>
      </c>
      <c r="J72" s="43" t="inlineStr">
        <is>
          <t>NOT RUN</t>
        </is>
      </c>
      <c r="K72" s="37" t="inlineStr">
        <is>
          <t>Claude (pending env)</t>
        </is>
      </c>
      <c r="L72" s="37" t="n"/>
      <c r="M72" s="37" t="n"/>
      <c r="N72" s="37" t="inlineStr">
        <is>
          <t>[T4 | Phase 4 | Claude (pending env)] Playwright/authenticated-API against running env. awaiting running staging URL + test accounts</t>
        </is>
      </c>
    </row>
    <row r="73" ht="43.25" customHeight="1" s="29">
      <c r="A73" s="36" t="inlineStr">
        <is>
          <t>MX-INPUT-0071</t>
        </is>
      </c>
      <c r="B73" s="54" t="inlineStr">
        <is>
          <t>P1</t>
        </is>
      </c>
      <c r="C73" s="36" t="inlineStr">
        <is>
          <t>Backend/Validation</t>
        </is>
      </c>
      <c r="D73" s="36" t="inlineStr">
        <is>
          <t>parent report fetch — Malformed UUID</t>
        </is>
      </c>
      <c r="E73" s="36" t="inlineStr">
        <is>
          <t>Confirms 'parent report fetch' rejects the 'malformed uuid' case at the boundary with a structured error, instead of crashing, hanging, or processing bad data. Validation gaps here cause corrupt data, leaks, or fraud depending on the endpoint.</t>
        </is>
      </c>
      <c r="F73" s="36" t="inlineStr">
        <is>
          <t>Ability to send crafted requests (proxy/API client) with a valid and invalid session.</t>
        </is>
      </c>
      <c r="G73" s="36" t="inlineStr">
        <is>
          <t>1) Against 'parent report fetch', send a non-UUID where a UUID is required. 2) Observe the response and any side effects.</t>
        </is>
      </c>
      <c r="H73" s="36" t="inlineStr">
        <is>
          <t>Returns a structured validation/authorisation error; no crash, no partial write, no data leak.</t>
        </is>
      </c>
      <c r="I73" s="36" t="inlineStr">
        <is>
          <t>Request/response capture</t>
        </is>
      </c>
      <c r="J73" s="41" t="inlineStr">
        <is>
          <t>NOT RUN</t>
        </is>
      </c>
      <c r="K73" s="36" t="inlineStr">
        <is>
          <t>Claude (pending env)</t>
        </is>
      </c>
      <c r="L73" s="36" t="n"/>
      <c r="M73" s="36" t="n"/>
      <c r="N73" s="36" t="inlineStr">
        <is>
          <t>[T4 | Phase 4 | Claude (pending env)] Playwright/authenticated-API against running env. awaiting running staging URL + test accounts</t>
        </is>
      </c>
    </row>
    <row r="74" ht="43.25" customHeight="1" s="29">
      <c r="A74" s="37" t="inlineStr">
        <is>
          <t>MX-INPUT-0072</t>
        </is>
      </c>
      <c r="B74" s="54" t="inlineStr">
        <is>
          <t>P1</t>
        </is>
      </c>
      <c r="C74" s="37" t="inlineStr">
        <is>
          <t>Backend/Validation</t>
        </is>
      </c>
      <c r="D74" s="37" t="inlineStr">
        <is>
          <t>parent report fetch — Missing required field</t>
        </is>
      </c>
      <c r="E74" s="37" t="inlineStr">
        <is>
          <t>Confirms 'parent report fetch' rejects the 'missing required field' case at the boundary with a structured error, instead of crashing, hanging, or processing bad data. Validation gaps here cause corrupt data, leaks, or fraud depending on the endpoint.</t>
        </is>
      </c>
      <c r="F74" s="37" t="inlineStr">
        <is>
          <t>Ability to send crafted requests (proxy/API client) with a valid and invalid session.</t>
        </is>
      </c>
      <c r="G74" s="37" t="inlineStr">
        <is>
          <t>1) Against 'parent report fetch', omit a required field. 2) Observe the response and any side effects.</t>
        </is>
      </c>
      <c r="H74" s="37" t="inlineStr">
        <is>
          <t>Returns a structured validation/authorisation error; no crash, no partial write, no data leak.</t>
        </is>
      </c>
      <c r="I74" s="37" t="inlineStr">
        <is>
          <t>Request/response capture</t>
        </is>
      </c>
      <c r="J74" s="43" t="inlineStr">
        <is>
          <t>NOT RUN</t>
        </is>
      </c>
      <c r="K74" s="37" t="inlineStr">
        <is>
          <t>Claude (pending env)</t>
        </is>
      </c>
      <c r="L74" s="37" t="n"/>
      <c r="M74" s="37" t="n"/>
      <c r="N74" s="37" t="inlineStr">
        <is>
          <t>[T4 | Phase 4 | Claude (pending env)] Playwright/authenticated-API against running env. awaiting running staging URL + test accounts</t>
        </is>
      </c>
    </row>
    <row r="75" ht="43.25" customHeight="1" s="29">
      <c r="A75" s="36" t="inlineStr">
        <is>
          <t>MX-INPUT-0073</t>
        </is>
      </c>
      <c r="B75" s="54" t="inlineStr">
        <is>
          <t>P1</t>
        </is>
      </c>
      <c r="C75" s="36" t="inlineStr">
        <is>
          <t>Backend/Validation</t>
        </is>
      </c>
      <c r="D75" s="36" t="inlineStr">
        <is>
          <t>parent report fetch — Wrong type</t>
        </is>
      </c>
      <c r="E75" s="36" t="inlineStr">
        <is>
          <t>Confirms 'parent report fetch' rejects the 'wrong type' case at the boundary with a structured error, instead of crashing, hanging, or processing bad data. Validation gaps here cause corrupt data, leaks, or fraud depending on the endpoint.</t>
        </is>
      </c>
      <c r="F75" s="36" t="inlineStr">
        <is>
          <t>Ability to send crafted requests (proxy/API client) with a valid and invalid session.</t>
        </is>
      </c>
      <c r="G75" s="36" t="inlineStr">
        <is>
          <t>1) Against 'parent report fetch', send a string where a number/enum is expected. 2) Observe the response and any side effects.</t>
        </is>
      </c>
      <c r="H75" s="36" t="inlineStr">
        <is>
          <t>Returns a structured validation/authorisation error; no crash, no partial write, no data leak.</t>
        </is>
      </c>
      <c r="I75" s="36" t="inlineStr">
        <is>
          <t>Request/response capture</t>
        </is>
      </c>
      <c r="J75" s="41" t="inlineStr">
        <is>
          <t>NOT RUN</t>
        </is>
      </c>
      <c r="K75" s="36" t="inlineStr">
        <is>
          <t>Claude (pending env)</t>
        </is>
      </c>
      <c r="L75" s="36" t="n"/>
      <c r="M75" s="36" t="n"/>
      <c r="N75" s="36" t="inlineStr">
        <is>
          <t>[T4 | Phase 4 | Claude (pending env)] Playwright/authenticated-API against running env. awaiting running staging URL + test accounts</t>
        </is>
      </c>
    </row>
    <row r="76" ht="43.25" customHeight="1" s="29">
      <c r="A76" s="37" t="inlineStr">
        <is>
          <t>MX-INPUT-0074</t>
        </is>
      </c>
      <c r="B76" s="54" t="inlineStr">
        <is>
          <t>P1</t>
        </is>
      </c>
      <c r="C76" s="37" t="inlineStr">
        <is>
          <t>Backend/Validation</t>
        </is>
      </c>
      <c r="D76" s="37" t="inlineStr">
        <is>
          <t>parent report fetch — Out-of-range value</t>
        </is>
      </c>
      <c r="E76" s="37" t="inlineStr">
        <is>
          <t>Confirms 'parent report fetch' rejects the 'out-of-range value' case at the boundary with a structured error, instead of crashing, hanging, or processing bad data. Validation gaps here cause corrupt data, leaks, or fraud depending on the endpoint.</t>
        </is>
      </c>
      <c r="F76" s="37" t="inlineStr">
        <is>
          <t>Ability to send crafted requests (proxy/API client) with a valid and invalid session.</t>
        </is>
      </c>
      <c r="G76" s="37" t="inlineStr">
        <is>
          <t>1) Against 'parent report fetch', send a negative/overflow/enum-violating value (e.g. negative amount, invalid grade). 2) Observe the response and any side effects.</t>
        </is>
      </c>
      <c r="H76" s="37" t="inlineStr">
        <is>
          <t>Returns a structured validation/authorisation error; no crash, no partial write, no data leak.</t>
        </is>
      </c>
      <c r="I76" s="37" t="inlineStr">
        <is>
          <t>Request/response capture</t>
        </is>
      </c>
      <c r="J76" s="43" t="inlineStr">
        <is>
          <t>NOT RUN</t>
        </is>
      </c>
      <c r="K76" s="37" t="inlineStr">
        <is>
          <t>Claude (pending env)</t>
        </is>
      </c>
      <c r="L76" s="37" t="n"/>
      <c r="M76" s="37" t="n"/>
      <c r="N76" s="37" t="inlineStr">
        <is>
          <t>[T4 | Phase 4 | Claude (pending env)] Playwright/authenticated-API against running env. awaiting running staging URL + test accounts</t>
        </is>
      </c>
    </row>
    <row r="77" ht="43.25" customHeight="1" s="29">
      <c r="A77" s="36" t="inlineStr">
        <is>
          <t>MX-INPUT-0075</t>
        </is>
      </c>
      <c r="B77" s="54" t="inlineStr">
        <is>
          <t>P1</t>
        </is>
      </c>
      <c r="C77" s="36" t="inlineStr">
        <is>
          <t>Backend/Validation</t>
        </is>
      </c>
      <c r="D77" s="36" t="inlineStr">
        <is>
          <t>parent report fetch — Oversized payload</t>
        </is>
      </c>
      <c r="E77" s="36" t="inlineStr">
        <is>
          <t>Confirms 'parent report fetch' rejects the 'oversized payload' case at the boundary with a structured error, instead of crashing, hanging, or processing bad data. Validation gaps here cause corrupt data, leaks, or fraud depending on the endpoint.</t>
        </is>
      </c>
      <c r="F77" s="36" t="inlineStr">
        <is>
          <t>Ability to send crafted requests (proxy/API client) with a valid and invalid session.</t>
        </is>
      </c>
      <c r="G77" s="36" t="inlineStr">
        <is>
          <t>1) Against 'parent report fetch', send an oversized/deeply-nested payload. 2) Observe the response and any side effects.</t>
        </is>
      </c>
      <c r="H77" s="36" t="inlineStr">
        <is>
          <t>Returns a structured validation/authorisation error; no crash, no partial write, no data leak.</t>
        </is>
      </c>
      <c r="I77" s="36" t="inlineStr">
        <is>
          <t>Request/response capture</t>
        </is>
      </c>
      <c r="J77" s="41" t="inlineStr">
        <is>
          <t>NOT RUN</t>
        </is>
      </c>
      <c r="K77" s="36" t="inlineStr">
        <is>
          <t>Claude (pending env)</t>
        </is>
      </c>
      <c r="L77" s="36" t="n"/>
      <c r="M77" s="36" t="n"/>
      <c r="N77" s="36" t="inlineStr">
        <is>
          <t>[T4 | Phase 4 | Claude (pending env)] Playwright/authenticated-API against running env. awaiting running staging URL + test accounts</t>
        </is>
      </c>
    </row>
    <row r="78" ht="43.25" customHeight="1" s="29">
      <c r="A78" s="37" t="inlineStr">
        <is>
          <t>MX-INPUT-0076</t>
        </is>
      </c>
      <c r="B78" s="54" t="inlineStr">
        <is>
          <t>P1</t>
        </is>
      </c>
      <c r="C78" s="37" t="inlineStr">
        <is>
          <t>Backend/Validation</t>
        </is>
      </c>
      <c r="D78" s="37" t="inlineStr">
        <is>
          <t>parent report fetch — Injection attempt</t>
        </is>
      </c>
      <c r="E78" s="37" t="inlineStr">
        <is>
          <t>Confirms 'parent report fetch' rejects the 'injection attempt' case at the boundary with a structured error, instead of crashing, hanging, or processing bad data. Validation gaps here cause corrupt data, leaks, or fraud depending on the endpoint.</t>
        </is>
      </c>
      <c r="F78" s="37" t="inlineStr">
        <is>
          <t>Ability to send crafted requests (proxy/API client) with a valid and invalid session.</t>
        </is>
      </c>
      <c r="G78" s="37" t="inlineStr">
        <is>
          <t>1) Against 'parent report fetch', send SQL/script metacharacters in string fields. 2) Observe the response and any side effects.</t>
        </is>
      </c>
      <c r="H78" s="37" t="inlineStr">
        <is>
          <t>Returns a structured validation/authorisation error; no crash, no partial write, no data leak.</t>
        </is>
      </c>
      <c r="I78" s="37" t="inlineStr">
        <is>
          <t>Request/response capture</t>
        </is>
      </c>
      <c r="J78" s="43" t="inlineStr">
        <is>
          <t>NOT RUN</t>
        </is>
      </c>
      <c r="K78" s="37" t="inlineStr">
        <is>
          <t>Claude (pending env)</t>
        </is>
      </c>
      <c r="L78" s="37" t="n"/>
      <c r="M78" s="37" t="n"/>
      <c r="N78" s="37" t="inlineStr">
        <is>
          <t>[T4 | Phase 4 | Claude (pending env)] Playwright/authenticated-API against running env. awaiting running staging URL + test accounts</t>
        </is>
      </c>
    </row>
    <row r="79" ht="43.25" customHeight="1" s="29">
      <c r="A79" s="36" t="inlineStr">
        <is>
          <t>MX-INPUT-0077</t>
        </is>
      </c>
      <c r="B79" s="54" t="inlineStr">
        <is>
          <t>P1</t>
        </is>
      </c>
      <c r="C79" s="36" t="inlineStr">
        <is>
          <t>Backend/Validation</t>
        </is>
      </c>
      <c r="D79" s="36" t="inlineStr">
        <is>
          <t>parent report fetch — Unauthorised caller</t>
        </is>
      </c>
      <c r="E79" s="36" t="inlineStr">
        <is>
          <t>Confirms 'parent report fetch' rejects the 'unauthorised caller' case at the boundary with a structured error, instead of crashing, hanging, or processing bad data. Validation gaps here cause corrupt data, leaks, or fraud depending on the endpoint.</t>
        </is>
      </c>
      <c r="F79" s="36" t="inlineStr">
        <is>
          <t>Ability to send crafted requests (proxy/API client) with a valid and invalid session.</t>
        </is>
      </c>
      <c r="G79" s="36" t="inlineStr">
        <is>
          <t>1) Against 'parent report fetch', call without a valid session / as the wrong role. 2) Observe the response and any side effects.</t>
        </is>
      </c>
      <c r="H79" s="36" t="inlineStr">
        <is>
          <t>Returns a structured validation/authorisation error; no crash, no partial write, no data leak.</t>
        </is>
      </c>
      <c r="I79" s="36" t="inlineStr">
        <is>
          <t>Request/response capture</t>
        </is>
      </c>
      <c r="J79" s="41" t="inlineStr">
        <is>
          <t>NOT RUN</t>
        </is>
      </c>
      <c r="K79" s="36" t="inlineStr">
        <is>
          <t>Claude (pending env)</t>
        </is>
      </c>
      <c r="L79" s="36" t="n"/>
      <c r="M79" s="36" t="n"/>
      <c r="N79" s="36" t="inlineStr">
        <is>
          <t>[T4 | Phase 4 | Claude (pending env)] Playwright/authenticated-API against running env. awaiting running staging URL + test accounts</t>
        </is>
      </c>
    </row>
    <row r="80" ht="43.25" customHeight="1" s="29">
      <c r="A80" s="37" t="inlineStr">
        <is>
          <t>MX-INPUT-0078</t>
        </is>
      </c>
      <c r="B80" s="54" t="inlineStr">
        <is>
          <t>P1</t>
        </is>
      </c>
      <c r="C80" s="37" t="inlineStr">
        <is>
          <t>Backend/Validation</t>
        </is>
      </c>
      <c r="D80" s="37" t="inlineStr">
        <is>
          <t>create payment order — Malformed UUID</t>
        </is>
      </c>
      <c r="E80" s="37" t="inlineStr">
        <is>
          <t>Confirms 'create payment order' rejects the 'malformed uuid' case at the boundary with a structured error, instead of crashing, hanging, or processing bad data. Validation gaps here cause corrupt data, leaks, or fraud depending on the endpoint.</t>
        </is>
      </c>
      <c r="F80" s="37" t="inlineStr">
        <is>
          <t>Ability to send crafted requests (proxy/API client) with a valid and invalid session.</t>
        </is>
      </c>
      <c r="G80" s="37" t="inlineStr">
        <is>
          <t>1) Against 'create payment order', send a non-UUID where a UUID is required. 2) Observe the response and any side effects.</t>
        </is>
      </c>
      <c r="H80" s="37" t="inlineStr">
        <is>
          <t>Returns a structured validation/authorisation error; no crash, no partial write, no data leak.</t>
        </is>
      </c>
      <c r="I80" s="37" t="inlineStr">
        <is>
          <t>Request/response capture</t>
        </is>
      </c>
      <c r="J80" s="43" t="inlineStr">
        <is>
          <t>NOT RUN</t>
        </is>
      </c>
      <c r="K80" s="37" t="inlineStr">
        <is>
          <t>Claude (pending env)</t>
        </is>
      </c>
      <c r="L80" s="37" t="n"/>
      <c r="M80" s="37" t="n"/>
      <c r="N80" s="37" t="inlineStr">
        <is>
          <t>[T4 | Phase 4 | Claude (pending env)] Playwright/authenticated-API against running env. awaiting running staging URL + test accounts</t>
        </is>
      </c>
    </row>
    <row r="81" ht="43.25" customHeight="1" s="29">
      <c r="A81" s="36" t="inlineStr">
        <is>
          <t>MX-INPUT-0079</t>
        </is>
      </c>
      <c r="B81" s="54" t="inlineStr">
        <is>
          <t>P1</t>
        </is>
      </c>
      <c r="C81" s="36" t="inlineStr">
        <is>
          <t>Backend/Validation</t>
        </is>
      </c>
      <c r="D81" s="36" t="inlineStr">
        <is>
          <t>create payment order — Missing required field</t>
        </is>
      </c>
      <c r="E81" s="36" t="inlineStr">
        <is>
          <t>Confirms 'create payment order' rejects the 'missing required field' case at the boundary with a structured error, instead of crashing, hanging, or processing bad data. Validation gaps here cause corrupt data, leaks, or fraud depending on the endpoint.</t>
        </is>
      </c>
      <c r="F81" s="36" t="inlineStr">
        <is>
          <t>Ability to send crafted requests (proxy/API client) with a valid and invalid session.</t>
        </is>
      </c>
      <c r="G81" s="36" t="inlineStr">
        <is>
          <t>1) Against 'create payment order', omit a required field. 2) Observe the response and any side effects.</t>
        </is>
      </c>
      <c r="H81" s="36" t="inlineStr">
        <is>
          <t>Returns a structured validation/authorisation error; no crash, no partial write, no data leak.</t>
        </is>
      </c>
      <c r="I81" s="36" t="inlineStr">
        <is>
          <t>Request/response capture</t>
        </is>
      </c>
      <c r="J81" s="41" t="inlineStr">
        <is>
          <t>NOT RUN</t>
        </is>
      </c>
      <c r="K81" s="36" t="inlineStr">
        <is>
          <t>Claude (pending env)</t>
        </is>
      </c>
      <c r="L81" s="36" t="n"/>
      <c r="M81" s="36" t="n"/>
      <c r="N81" s="36" t="inlineStr">
        <is>
          <t>[T4 | Phase 4 | Claude (pending env)] Playwright/authenticated-API against running env. awaiting running staging URL + test accounts</t>
        </is>
      </c>
    </row>
    <row r="82" ht="43.25" customHeight="1" s="29">
      <c r="A82" s="37" t="inlineStr">
        <is>
          <t>MX-INPUT-0080</t>
        </is>
      </c>
      <c r="B82" s="54" t="inlineStr">
        <is>
          <t>P1</t>
        </is>
      </c>
      <c r="C82" s="37" t="inlineStr">
        <is>
          <t>Backend/Validation</t>
        </is>
      </c>
      <c r="D82" s="37" t="inlineStr">
        <is>
          <t>create payment order — Wrong type</t>
        </is>
      </c>
      <c r="E82" s="37" t="inlineStr">
        <is>
          <t>Confirms 'create payment order' rejects the 'wrong type' case at the boundary with a structured error, instead of crashing, hanging, or processing bad data. Validation gaps here cause corrupt data, leaks, or fraud depending on the endpoint.</t>
        </is>
      </c>
      <c r="F82" s="37" t="inlineStr">
        <is>
          <t>Ability to send crafted requests (proxy/API client) with a valid and invalid session.</t>
        </is>
      </c>
      <c r="G82" s="37" t="inlineStr">
        <is>
          <t>1) Against 'create payment order', send a string where a number/enum is expected. 2) Observe the response and any side effects.</t>
        </is>
      </c>
      <c r="H82" s="37" t="inlineStr">
        <is>
          <t>Returns a structured validation/authorisation error; no crash, no partial write, no data leak.</t>
        </is>
      </c>
      <c r="I82" s="37" t="inlineStr">
        <is>
          <t>Request/response capture</t>
        </is>
      </c>
      <c r="J82" s="43" t="inlineStr">
        <is>
          <t>NOT RUN</t>
        </is>
      </c>
      <c r="K82" s="37" t="inlineStr">
        <is>
          <t>Claude (pending env)</t>
        </is>
      </c>
      <c r="L82" s="37" t="n"/>
      <c r="M82" s="37" t="n"/>
      <c r="N82" s="37" t="inlineStr">
        <is>
          <t>[T4 | Phase 4 | Claude (pending env)] Playwright/authenticated-API against running env. awaiting running staging URL + test accounts</t>
        </is>
      </c>
    </row>
    <row r="83" ht="43.25" customHeight="1" s="29">
      <c r="A83" s="36" t="inlineStr">
        <is>
          <t>MX-INPUT-0081</t>
        </is>
      </c>
      <c r="B83" s="54" t="inlineStr">
        <is>
          <t>P1</t>
        </is>
      </c>
      <c r="C83" s="36" t="inlineStr">
        <is>
          <t>Backend/Validation</t>
        </is>
      </c>
      <c r="D83" s="36" t="inlineStr">
        <is>
          <t>create payment order — Out-of-range value</t>
        </is>
      </c>
      <c r="E83" s="36" t="inlineStr">
        <is>
          <t>Confirms 'create payment order' rejects the 'out-of-range value' case at the boundary with a structured error, instead of crashing, hanging, or processing bad data. Validation gaps here cause corrupt data, leaks, or fraud depending on the endpoint.</t>
        </is>
      </c>
      <c r="F83" s="36" t="inlineStr">
        <is>
          <t>Ability to send crafted requests (proxy/API client) with a valid and invalid session.</t>
        </is>
      </c>
      <c r="G83" s="36" t="inlineStr">
        <is>
          <t>1) Against 'create payment order', send a negative/overflow/enum-violating value (e.g. negative amount, invalid grade). 2) Observe the response and any side effects.</t>
        </is>
      </c>
      <c r="H83" s="36" t="inlineStr">
        <is>
          <t>Returns a structured validation/authorisation error; no crash, no partial write, no data leak.</t>
        </is>
      </c>
      <c r="I83" s="36" t="inlineStr">
        <is>
          <t>Request/response capture</t>
        </is>
      </c>
      <c r="J83" s="41" t="inlineStr">
        <is>
          <t>NOT RUN</t>
        </is>
      </c>
      <c r="K83" s="36" t="inlineStr">
        <is>
          <t>Claude (pending env)</t>
        </is>
      </c>
      <c r="L83" s="36" t="n"/>
      <c r="M83" s="36" t="n"/>
      <c r="N83" s="36" t="inlineStr">
        <is>
          <t>[T4 | Phase 4 | Claude (pending env)] Playwright/authenticated-API against running env. awaiting running staging URL + test accounts</t>
        </is>
      </c>
    </row>
    <row r="84" ht="43.25" customHeight="1" s="29">
      <c r="A84" s="37" t="inlineStr">
        <is>
          <t>MX-INPUT-0082</t>
        </is>
      </c>
      <c r="B84" s="54" t="inlineStr">
        <is>
          <t>P1</t>
        </is>
      </c>
      <c r="C84" s="37" t="inlineStr">
        <is>
          <t>Backend/Validation</t>
        </is>
      </c>
      <c r="D84" s="37" t="inlineStr">
        <is>
          <t>create payment order — Oversized payload</t>
        </is>
      </c>
      <c r="E84" s="37" t="inlineStr">
        <is>
          <t>Confirms 'create payment order' rejects the 'oversized payload' case at the boundary with a structured error, instead of crashing, hanging, or processing bad data. Validation gaps here cause corrupt data, leaks, or fraud depending on the endpoint.</t>
        </is>
      </c>
      <c r="F84" s="37" t="inlineStr">
        <is>
          <t>Ability to send crafted requests (proxy/API client) with a valid and invalid session.</t>
        </is>
      </c>
      <c r="G84" s="37" t="inlineStr">
        <is>
          <t>1) Against 'create payment order', send an oversized/deeply-nested payload. 2) Observe the response and any side effects.</t>
        </is>
      </c>
      <c r="H84" s="37" t="inlineStr">
        <is>
          <t>Returns a structured validation/authorisation error; no crash, no partial write, no data leak.</t>
        </is>
      </c>
      <c r="I84" s="37" t="inlineStr">
        <is>
          <t>Request/response capture</t>
        </is>
      </c>
      <c r="J84" s="43" t="inlineStr">
        <is>
          <t>NOT RUN</t>
        </is>
      </c>
      <c r="K84" s="37" t="inlineStr">
        <is>
          <t>Claude (pending env)</t>
        </is>
      </c>
      <c r="L84" s="37" t="n"/>
      <c r="M84" s="37" t="n"/>
      <c r="N84" s="37" t="inlineStr">
        <is>
          <t>[T4 | Phase 4 | Claude (pending env)] Playwright/authenticated-API against running env. awaiting running staging URL + test accounts</t>
        </is>
      </c>
    </row>
    <row r="85" ht="43.25" customHeight="1" s="29">
      <c r="A85" s="36" t="inlineStr">
        <is>
          <t>MX-INPUT-0083</t>
        </is>
      </c>
      <c r="B85" s="54" t="inlineStr">
        <is>
          <t>P1</t>
        </is>
      </c>
      <c r="C85" s="36" t="inlineStr">
        <is>
          <t>Backend/Validation</t>
        </is>
      </c>
      <c r="D85" s="36" t="inlineStr">
        <is>
          <t>create payment order — Injection attempt</t>
        </is>
      </c>
      <c r="E85" s="36" t="inlineStr">
        <is>
          <t>Confirms 'create payment order' rejects the 'injection attempt' case at the boundary with a structured error, instead of crashing, hanging, or processing bad data. Validation gaps here cause corrupt data, leaks, or fraud depending on the endpoint.</t>
        </is>
      </c>
      <c r="F85" s="36" t="inlineStr">
        <is>
          <t>Ability to send crafted requests (proxy/API client) with a valid and invalid session.</t>
        </is>
      </c>
      <c r="G85" s="36" t="inlineStr">
        <is>
          <t>1) Against 'create payment order', send SQL/script metacharacters in string fields. 2) Observe the response and any side effects.</t>
        </is>
      </c>
      <c r="H85" s="36" t="inlineStr">
        <is>
          <t>Returns a structured validation/authorisation error; no crash, no partial write, no data leak.</t>
        </is>
      </c>
      <c r="I85" s="36" t="inlineStr">
        <is>
          <t>Request/response capture</t>
        </is>
      </c>
      <c r="J85" s="41" t="inlineStr">
        <is>
          <t>NOT RUN</t>
        </is>
      </c>
      <c r="K85" s="36" t="inlineStr">
        <is>
          <t>Claude (pending env)</t>
        </is>
      </c>
      <c r="L85" s="36" t="n"/>
      <c r="M85" s="36" t="n"/>
      <c r="N85" s="36" t="inlineStr">
        <is>
          <t>[T4 | Phase 4 | Claude (pending env)] Playwright/authenticated-API against running env. awaiting running staging URL + test accounts</t>
        </is>
      </c>
    </row>
    <row r="86" ht="43.25" customHeight="1" s="29">
      <c r="A86" s="37" t="inlineStr">
        <is>
          <t>MX-INPUT-0084</t>
        </is>
      </c>
      <c r="B86" s="53" t="inlineStr">
        <is>
          <t>P0</t>
        </is>
      </c>
      <c r="C86" s="37" t="inlineStr">
        <is>
          <t>Backend/Validation</t>
        </is>
      </c>
      <c r="D86" s="37" t="inlineStr">
        <is>
          <t>create payment order — Unauthorised caller</t>
        </is>
      </c>
      <c r="E86" s="37" t="inlineStr">
        <is>
          <t>Confirms 'create payment order' rejects the 'unauthorised caller' case at the boundary with a structured error, instead of crashing, hanging, or processing bad data. Validation gaps here cause corrupt data, leaks, or fraud depending on the endpoint.</t>
        </is>
      </c>
      <c r="F86" s="37" t="inlineStr">
        <is>
          <t>Ability to send crafted requests (proxy/API client) with a valid and invalid session.</t>
        </is>
      </c>
      <c r="G86" s="37" t="inlineStr">
        <is>
          <t>1) Against 'create payment order', call without a valid session / as the wrong role. 2) Observe the response and any side effects.</t>
        </is>
      </c>
      <c r="H86" s="37" t="inlineStr">
        <is>
          <t>Returns a structured validation/authorisation error; no crash, no partial write, no data leak.</t>
        </is>
      </c>
      <c r="I86" s="37" t="inlineStr">
        <is>
          <t>Request/response capture</t>
        </is>
      </c>
      <c r="J86" s="43" t="inlineStr">
        <is>
          <t>NOT RUN</t>
        </is>
      </c>
      <c r="K86" s="37" t="inlineStr">
        <is>
          <t>Claude (pending env)</t>
        </is>
      </c>
      <c r="L86" s="37" t="n"/>
      <c r="M86" s="37" t="n"/>
      <c r="N86" s="37" t="inlineStr">
        <is>
          <t>[T4 | Phase 4 | Claude (pending env)] Playwright/authenticated-API against running env. awaiting running staging URL + test accounts</t>
        </is>
      </c>
    </row>
    <row r="87" ht="43.25" customHeight="1" s="29">
      <c r="A87" s="36" t="inlineStr">
        <is>
          <t>MX-INPUT-0085</t>
        </is>
      </c>
      <c r="B87" s="54" t="inlineStr">
        <is>
          <t>P1</t>
        </is>
      </c>
      <c r="C87" s="36" t="inlineStr">
        <is>
          <t>Backend/Validation</t>
        </is>
      </c>
      <c r="D87" s="36" t="inlineStr">
        <is>
          <t>Razorpay webhook handler — Malformed UUID</t>
        </is>
      </c>
      <c r="E87" s="36" t="inlineStr">
        <is>
          <t>Confirms 'Razorpay webhook handler' rejects the 'malformed uuid' case at the boundary with a structured error, instead of crashing, hanging, or processing bad data. Validation gaps here cause corrupt data, leaks, or fraud depending on the endpoint.</t>
        </is>
      </c>
      <c r="F87" s="36" t="inlineStr">
        <is>
          <t>Ability to send crafted requests (proxy/API client) with a valid and invalid session.</t>
        </is>
      </c>
      <c r="G87" s="36" t="inlineStr">
        <is>
          <t>1) Against 'Razorpay webhook handler', send a non-UUID where a UUID is required. 2) Observe the response and any side effects.</t>
        </is>
      </c>
      <c r="H87" s="36" t="inlineStr">
        <is>
          <t>Returns a structured validation/authorisation error; no crash, no partial write, no data leak.</t>
        </is>
      </c>
      <c r="I87" s="36" t="inlineStr">
        <is>
          <t>Request/response capture</t>
        </is>
      </c>
      <c r="J87" s="41" t="inlineStr">
        <is>
          <t>NOT RUN</t>
        </is>
      </c>
      <c r="K87" s="36" t="inlineStr">
        <is>
          <t>Claude (pending env)</t>
        </is>
      </c>
      <c r="L87" s="36" t="n"/>
      <c r="M87" s="36" t="n"/>
      <c r="N87" s="36" t="inlineStr">
        <is>
          <t>[T4 | Phase 4 | Claude (pending env)] Playwright/authenticated-API against running env. awaiting running staging URL + test accounts</t>
        </is>
      </c>
    </row>
    <row r="88" ht="53.7" customHeight="1" s="29">
      <c r="A88" s="37" t="inlineStr">
        <is>
          <t>MX-INPUT-0086</t>
        </is>
      </c>
      <c r="B88" s="54" t="inlineStr">
        <is>
          <t>P1</t>
        </is>
      </c>
      <c r="C88" s="37" t="inlineStr">
        <is>
          <t>Backend/Validation</t>
        </is>
      </c>
      <c r="D88" s="37" t="inlineStr">
        <is>
          <t>Razorpay webhook handler — Missing required field</t>
        </is>
      </c>
      <c r="E88" s="37" t="inlineStr">
        <is>
          <t>Confirms 'Razorpay webhook handler' rejects the 'missing required field' case at the boundary with a structured error, instead of crashing, hanging, or processing bad data. Validation gaps here cause corrupt data, leaks, or fraud depending on the endpoint.</t>
        </is>
      </c>
      <c r="F88" s="37" t="inlineStr">
        <is>
          <t>Ability to send crafted requests (proxy/API client) with a valid and invalid session.</t>
        </is>
      </c>
      <c r="G88" s="37" t="inlineStr">
        <is>
          <t>1) Against 'Razorpay webhook handler', omit a required field. 2) Observe the response and any side effects.</t>
        </is>
      </c>
      <c r="H88" s="37" t="inlineStr">
        <is>
          <t>Returns a structured validation/authorisation error; no crash, no partial write, no data leak.</t>
        </is>
      </c>
      <c r="I88" s="37" t="inlineStr">
        <is>
          <t>Request/response capture</t>
        </is>
      </c>
      <c r="J88" s="43" t="inlineStr">
        <is>
          <t>NOT RUN</t>
        </is>
      </c>
      <c r="K88" s="37" t="inlineStr">
        <is>
          <t>Claude (pending env)</t>
        </is>
      </c>
      <c r="L88" s="37" t="n"/>
      <c r="M88" s="37" t="n"/>
      <c r="N88" s="37" t="inlineStr">
        <is>
          <t>[T4 | Phase 4 | Claude (pending env)] Playwright/authenticated-API against running env. awaiting running staging URL + test accounts</t>
        </is>
      </c>
    </row>
    <row r="89" ht="43.25" customHeight="1" s="29">
      <c r="A89" s="36" t="inlineStr">
        <is>
          <t>MX-INPUT-0087</t>
        </is>
      </c>
      <c r="B89" s="54" t="inlineStr">
        <is>
          <t>P1</t>
        </is>
      </c>
      <c r="C89" s="36" t="inlineStr">
        <is>
          <t>Backend/Validation</t>
        </is>
      </c>
      <c r="D89" s="36" t="inlineStr">
        <is>
          <t>Razorpay webhook handler — Wrong type</t>
        </is>
      </c>
      <c r="E89" s="36" t="inlineStr">
        <is>
          <t>Confirms 'Razorpay webhook handler' rejects the 'wrong type' case at the boundary with a structured error, instead of crashing, hanging, or processing bad data. Validation gaps here cause corrupt data, leaks, or fraud depending on the endpoint.</t>
        </is>
      </c>
      <c r="F89" s="36" t="inlineStr">
        <is>
          <t>Ability to send crafted requests (proxy/API client) with a valid and invalid session.</t>
        </is>
      </c>
      <c r="G89" s="36" t="inlineStr">
        <is>
          <t>1) Against 'Razorpay webhook handler', send a string where a number/enum is expected. 2) Observe the response and any side effects.</t>
        </is>
      </c>
      <c r="H89" s="36" t="inlineStr">
        <is>
          <t>Returns a structured validation/authorisation error; no crash, no partial write, no data leak.</t>
        </is>
      </c>
      <c r="I89" s="36" t="inlineStr">
        <is>
          <t>Request/response capture</t>
        </is>
      </c>
      <c r="J89" s="41" t="inlineStr">
        <is>
          <t>NOT RUN</t>
        </is>
      </c>
      <c r="K89" s="36" t="inlineStr">
        <is>
          <t>Claude (pending env)</t>
        </is>
      </c>
      <c r="L89" s="36" t="n"/>
      <c r="M89" s="36" t="n"/>
      <c r="N89" s="36" t="inlineStr">
        <is>
          <t>[T4 | Phase 4 | Claude (pending env)] Playwright/authenticated-API against running env. awaiting running staging URL + test accounts</t>
        </is>
      </c>
    </row>
    <row r="90" ht="43.25" customHeight="1" s="29">
      <c r="A90" s="37" t="inlineStr">
        <is>
          <t>MX-INPUT-0088</t>
        </is>
      </c>
      <c r="B90" s="54" t="inlineStr">
        <is>
          <t>P1</t>
        </is>
      </c>
      <c r="C90" s="37" t="inlineStr">
        <is>
          <t>Backend/Validation</t>
        </is>
      </c>
      <c r="D90" s="37" t="inlineStr">
        <is>
          <t>Razorpay webhook handler — Out-of-range value</t>
        </is>
      </c>
      <c r="E90" s="37" t="inlineStr">
        <is>
          <t>Confirms 'Razorpay webhook handler' rejects the 'out-of-range value' case at the boundary with a structured error, instead of crashing, hanging, or processing bad data. Validation gaps here cause corrupt data, leaks, or fraud depending on the endpoint.</t>
        </is>
      </c>
      <c r="F90" s="37" t="inlineStr">
        <is>
          <t>Ability to send crafted requests (proxy/API client) with a valid and invalid session.</t>
        </is>
      </c>
      <c r="G90" s="37" t="inlineStr">
        <is>
          <t>1) Against 'Razorpay webhook handler', send a negative/overflow/enum-violating value (e.g. negative amount, invalid grade). 2) Observe the response and any side effects.</t>
        </is>
      </c>
      <c r="H90" s="37" t="inlineStr">
        <is>
          <t>Returns a structured validation/authorisation error; no crash, no partial write, no data leak.</t>
        </is>
      </c>
      <c r="I90" s="37" t="inlineStr">
        <is>
          <t>Request/response capture</t>
        </is>
      </c>
      <c r="J90" s="43" t="inlineStr">
        <is>
          <t>NOT RUN</t>
        </is>
      </c>
      <c r="K90" s="37" t="inlineStr">
        <is>
          <t>Claude (pending env)</t>
        </is>
      </c>
      <c r="L90" s="37" t="n"/>
      <c r="M90" s="37" t="n"/>
      <c r="N90" s="37" t="inlineStr">
        <is>
          <t>[T4 | Phase 4 | Claude (pending env)] Playwright/authenticated-API against running env. awaiting running staging URL + test accounts</t>
        </is>
      </c>
    </row>
    <row r="91" ht="43.25" customHeight="1" s="29">
      <c r="A91" s="36" t="inlineStr">
        <is>
          <t>MX-INPUT-0089</t>
        </is>
      </c>
      <c r="B91" s="54" t="inlineStr">
        <is>
          <t>P1</t>
        </is>
      </c>
      <c r="C91" s="36" t="inlineStr">
        <is>
          <t>Backend/Validation</t>
        </is>
      </c>
      <c r="D91" s="36" t="inlineStr">
        <is>
          <t>Razorpay webhook handler — Oversized payload</t>
        </is>
      </c>
      <c r="E91" s="36" t="inlineStr">
        <is>
          <t>Confirms 'Razorpay webhook handler' rejects the 'oversized payload' case at the boundary with a structured error, instead of crashing, hanging, or processing bad data. Validation gaps here cause corrupt data, leaks, or fraud depending on the endpoint.</t>
        </is>
      </c>
      <c r="F91" s="36" t="inlineStr">
        <is>
          <t>Ability to send crafted requests (proxy/API client) with a valid and invalid session.</t>
        </is>
      </c>
      <c r="G91" s="36" t="inlineStr">
        <is>
          <t>1) Against 'Razorpay webhook handler', send an oversized/deeply-nested payload. 2) Observe the response and any side effects.</t>
        </is>
      </c>
      <c r="H91" s="36" t="inlineStr">
        <is>
          <t>Returns a structured validation/authorisation error; no crash, no partial write, no data leak.</t>
        </is>
      </c>
      <c r="I91" s="36" t="inlineStr">
        <is>
          <t>Request/response capture</t>
        </is>
      </c>
      <c r="J91" s="41" t="inlineStr">
        <is>
          <t>NOT RUN</t>
        </is>
      </c>
      <c r="K91" s="36" t="inlineStr">
        <is>
          <t>Claude (pending env)</t>
        </is>
      </c>
      <c r="L91" s="36" t="n"/>
      <c r="M91" s="36" t="n"/>
      <c r="N91" s="36" t="inlineStr">
        <is>
          <t>[T4 | Phase 4 | Claude (pending env)] Playwright/authenticated-API against running env. awaiting running staging URL + test accounts</t>
        </is>
      </c>
    </row>
    <row r="92" ht="43.25" customHeight="1" s="29">
      <c r="A92" s="37" t="inlineStr">
        <is>
          <t>MX-INPUT-0090</t>
        </is>
      </c>
      <c r="B92" s="54" t="inlineStr">
        <is>
          <t>P1</t>
        </is>
      </c>
      <c r="C92" s="37" t="inlineStr">
        <is>
          <t>Backend/Validation</t>
        </is>
      </c>
      <c r="D92" s="37" t="inlineStr">
        <is>
          <t>Razorpay webhook handler — Injection attempt</t>
        </is>
      </c>
      <c r="E92" s="37" t="inlineStr">
        <is>
          <t>Confirms 'Razorpay webhook handler' rejects the 'injection attempt' case at the boundary with a structured error, instead of crashing, hanging, or processing bad data. Validation gaps here cause corrupt data, leaks, or fraud depending on the endpoint.</t>
        </is>
      </c>
      <c r="F92" s="37" t="inlineStr">
        <is>
          <t>Ability to send crafted requests (proxy/API client) with a valid and invalid session.</t>
        </is>
      </c>
      <c r="G92" s="37" t="inlineStr">
        <is>
          <t>1) Against 'Razorpay webhook handler', send SQL/script metacharacters in string fields. 2) Observe the response and any side effects.</t>
        </is>
      </c>
      <c r="H92" s="37" t="inlineStr">
        <is>
          <t>Returns a structured validation/authorisation error; no crash, no partial write, no data leak.</t>
        </is>
      </c>
      <c r="I92" s="37" t="inlineStr">
        <is>
          <t>Request/response capture</t>
        </is>
      </c>
      <c r="J92" s="43" t="inlineStr">
        <is>
          <t>NOT RUN</t>
        </is>
      </c>
      <c r="K92" s="37" t="inlineStr">
        <is>
          <t>Claude (pending env)</t>
        </is>
      </c>
      <c r="L92" s="37" t="n"/>
      <c r="M92" s="37" t="n"/>
      <c r="N92" s="37" t="inlineStr">
        <is>
          <t>[T4 | Phase 4 | Claude (pending env)] Playwright/authenticated-API against running env. awaiting running staging URL + test accounts</t>
        </is>
      </c>
    </row>
    <row r="93" ht="43.25" customHeight="1" s="29">
      <c r="A93" s="36" t="inlineStr">
        <is>
          <t>MX-INPUT-0091</t>
        </is>
      </c>
      <c r="B93" s="53" t="inlineStr">
        <is>
          <t>P0</t>
        </is>
      </c>
      <c r="C93" s="36" t="inlineStr">
        <is>
          <t>Backend/Validation</t>
        </is>
      </c>
      <c r="D93" s="36" t="inlineStr">
        <is>
          <t>Razorpay webhook handler — Unauthorised caller</t>
        </is>
      </c>
      <c r="E93" s="36" t="inlineStr">
        <is>
          <t>Confirms 'Razorpay webhook handler' rejects the 'unauthorised caller' case at the boundary with a structured error, instead of crashing, hanging, or processing bad data. Validation gaps here cause corrupt data, leaks, or fraud depending on the endpoint.</t>
        </is>
      </c>
      <c r="F93" s="36" t="inlineStr">
        <is>
          <t>Ability to send crafted requests (proxy/API client) with a valid and invalid session.</t>
        </is>
      </c>
      <c r="G93" s="36" t="inlineStr">
        <is>
          <t>1) Against 'Razorpay webhook handler', call without a valid session / as the wrong role. 2) Observe the response and any side effects.</t>
        </is>
      </c>
      <c r="H93" s="36" t="inlineStr">
        <is>
          <t>Returns a structured validation/authorisation error; no crash, no partial write, no data leak.</t>
        </is>
      </c>
      <c r="I93" s="36" t="inlineStr">
        <is>
          <t>Request/response capture</t>
        </is>
      </c>
      <c r="J93" s="41" t="inlineStr">
        <is>
          <t>NOT RUN</t>
        </is>
      </c>
      <c r="K93" s="36" t="inlineStr">
        <is>
          <t>Claude (pending env)</t>
        </is>
      </c>
      <c r="L93" s="36" t="n"/>
      <c r="M93" s="36" t="n"/>
      <c r="N93" s="36" t="inlineStr">
        <is>
          <t>[T4 | Phase 4 | Claude (pending env)] Playwright/authenticated-API against running env. awaiting running staging URL + test accounts</t>
        </is>
      </c>
    </row>
    <row r="94" ht="43.25" customHeight="1" s="29">
      <c r="A94" s="37" t="inlineStr">
        <is>
          <t>MX-INPUT-0092</t>
        </is>
      </c>
      <c r="B94" s="54" t="inlineStr">
        <is>
          <t>P1</t>
        </is>
      </c>
      <c r="C94" s="37" t="inlineStr">
        <is>
          <t>Backend/Validation</t>
        </is>
      </c>
      <c r="D94" s="37" t="inlineStr">
        <is>
          <t>refund request — Malformed UUID</t>
        </is>
      </c>
      <c r="E94" s="37" t="inlineStr">
        <is>
          <t>Confirms 'refund request' rejects the 'malformed uuid' case at the boundary with a structured error, instead of crashing, hanging, or processing bad data. Validation gaps here cause corrupt data, leaks, or fraud depending on the endpoint.</t>
        </is>
      </c>
      <c r="F94" s="37" t="inlineStr">
        <is>
          <t>Ability to send crafted requests (proxy/API client) with a valid and invalid session.</t>
        </is>
      </c>
      <c r="G94" s="37" t="inlineStr">
        <is>
          <t>1) Against 'refund request', send a non-UUID where a UUID is required. 2) Observe the response and any side effects.</t>
        </is>
      </c>
      <c r="H94" s="37" t="inlineStr">
        <is>
          <t>Returns a structured validation/authorisation error; no crash, no partial write, no data leak.</t>
        </is>
      </c>
      <c r="I94" s="37" t="inlineStr">
        <is>
          <t>Request/response capture</t>
        </is>
      </c>
      <c r="J94" s="43" t="inlineStr">
        <is>
          <t>NOT RUN</t>
        </is>
      </c>
      <c r="K94" s="37" t="inlineStr">
        <is>
          <t>Claude (pending env)</t>
        </is>
      </c>
      <c r="L94" s="37" t="n"/>
      <c r="M94" s="37" t="n"/>
      <c r="N94" s="37" t="inlineStr">
        <is>
          <t>[T4 | Phase 4 | Claude (pending env)] Playwright/authenticated-API against running env. awaiting running staging URL + test accounts</t>
        </is>
      </c>
    </row>
    <row r="95" ht="43.25" customHeight="1" s="29">
      <c r="A95" s="36" t="inlineStr">
        <is>
          <t>MX-INPUT-0093</t>
        </is>
      </c>
      <c r="B95" s="54" t="inlineStr">
        <is>
          <t>P1</t>
        </is>
      </c>
      <c r="C95" s="36" t="inlineStr">
        <is>
          <t>Backend/Validation</t>
        </is>
      </c>
      <c r="D95" s="36" t="inlineStr">
        <is>
          <t>refund request — Missing required field</t>
        </is>
      </c>
      <c r="E95" s="36" t="inlineStr">
        <is>
          <t>Confirms 'refund request' rejects the 'missing required field' case at the boundary with a structured error, instead of crashing, hanging, or processing bad data. Validation gaps here cause corrupt data, leaks, or fraud depending on the endpoint.</t>
        </is>
      </c>
      <c r="F95" s="36" t="inlineStr">
        <is>
          <t>Ability to send crafted requests (proxy/API client) with a valid and invalid session.</t>
        </is>
      </c>
      <c r="G95" s="36" t="inlineStr">
        <is>
          <t>1) Against 'refund request', omit a required field. 2) Observe the response and any side effects.</t>
        </is>
      </c>
      <c r="H95" s="36" t="inlineStr">
        <is>
          <t>Returns a structured validation/authorisation error; no crash, no partial write, no data leak.</t>
        </is>
      </c>
      <c r="I95" s="36" t="inlineStr">
        <is>
          <t>Request/response capture</t>
        </is>
      </c>
      <c r="J95" s="41" t="inlineStr">
        <is>
          <t>NOT RUN</t>
        </is>
      </c>
      <c r="K95" s="36" t="inlineStr">
        <is>
          <t>Claude (pending env)</t>
        </is>
      </c>
      <c r="L95" s="36" t="n"/>
      <c r="M95" s="36" t="n"/>
      <c r="N95" s="36" t="inlineStr">
        <is>
          <t>[T4 | Phase 4 | Claude (pending env)] Playwright/authenticated-API against running env. awaiting running staging URL + test accounts</t>
        </is>
      </c>
    </row>
    <row r="96" ht="43.25" customHeight="1" s="29">
      <c r="A96" s="37" t="inlineStr">
        <is>
          <t>MX-INPUT-0094</t>
        </is>
      </c>
      <c r="B96" s="54" t="inlineStr">
        <is>
          <t>P1</t>
        </is>
      </c>
      <c r="C96" s="37" t="inlineStr">
        <is>
          <t>Backend/Validation</t>
        </is>
      </c>
      <c r="D96" s="37" t="inlineStr">
        <is>
          <t>refund request — Wrong type</t>
        </is>
      </c>
      <c r="E96" s="37" t="inlineStr">
        <is>
          <t>Confirms 'refund request' rejects the 'wrong type' case at the boundary with a structured error, instead of crashing, hanging, or processing bad data. Validation gaps here cause corrupt data, leaks, or fraud depending on the endpoint.</t>
        </is>
      </c>
      <c r="F96" s="37" t="inlineStr">
        <is>
          <t>Ability to send crafted requests (proxy/API client) with a valid and invalid session.</t>
        </is>
      </c>
      <c r="G96" s="37" t="inlineStr">
        <is>
          <t>1) Against 'refund request', send a string where a number/enum is expected. 2) Observe the response and any side effects.</t>
        </is>
      </c>
      <c r="H96" s="37" t="inlineStr">
        <is>
          <t>Returns a structured validation/authorisation error; no crash, no partial write, no data leak.</t>
        </is>
      </c>
      <c r="I96" s="37" t="inlineStr">
        <is>
          <t>Request/response capture</t>
        </is>
      </c>
      <c r="J96" s="43" t="inlineStr">
        <is>
          <t>NOT RUN</t>
        </is>
      </c>
      <c r="K96" s="37" t="inlineStr">
        <is>
          <t>Claude (pending env)</t>
        </is>
      </c>
      <c r="L96" s="37" t="n"/>
      <c r="M96" s="37" t="n"/>
      <c r="N96" s="37" t="inlineStr">
        <is>
          <t>[T4 | Phase 4 | Claude (pending env)] Playwright/authenticated-API against running env. awaiting running staging URL + test accounts</t>
        </is>
      </c>
    </row>
    <row r="97" ht="43.25" customHeight="1" s="29">
      <c r="A97" s="36" t="inlineStr">
        <is>
          <t>MX-INPUT-0095</t>
        </is>
      </c>
      <c r="B97" s="54" t="inlineStr">
        <is>
          <t>P1</t>
        </is>
      </c>
      <c r="C97" s="36" t="inlineStr">
        <is>
          <t>Backend/Validation</t>
        </is>
      </c>
      <c r="D97" s="36" t="inlineStr">
        <is>
          <t>refund request — Out-of-range value</t>
        </is>
      </c>
      <c r="E97" s="36" t="inlineStr">
        <is>
          <t>Confirms 'refund request' rejects the 'out-of-range value' case at the boundary with a structured error, instead of crashing, hanging, or processing bad data. Validation gaps here cause corrupt data, leaks, or fraud depending on the endpoint.</t>
        </is>
      </c>
      <c r="F97" s="36" t="inlineStr">
        <is>
          <t>Ability to send crafted requests (proxy/API client) with a valid and invalid session.</t>
        </is>
      </c>
      <c r="G97" s="36" t="inlineStr">
        <is>
          <t>1) Against 'refund request', send a negative/overflow/enum-violating value (e.g. negative amount, invalid grade). 2) Observe the response and any side effects.</t>
        </is>
      </c>
      <c r="H97" s="36" t="inlineStr">
        <is>
          <t>Returns a structured validation/authorisation error; no crash, no partial write, no data leak.</t>
        </is>
      </c>
      <c r="I97" s="36" t="inlineStr">
        <is>
          <t>Request/response capture</t>
        </is>
      </c>
      <c r="J97" s="41" t="inlineStr">
        <is>
          <t>NOT RUN</t>
        </is>
      </c>
      <c r="K97" s="36" t="inlineStr">
        <is>
          <t>Claude (pending env)</t>
        </is>
      </c>
      <c r="L97" s="36" t="n"/>
      <c r="M97" s="36" t="n"/>
      <c r="N97" s="36" t="inlineStr">
        <is>
          <t>[T4 | Phase 4 | Claude (pending env)] Playwright/authenticated-API against running env. awaiting running staging URL + test accounts</t>
        </is>
      </c>
    </row>
    <row r="98" ht="43.25" customHeight="1" s="29">
      <c r="A98" s="37" t="inlineStr">
        <is>
          <t>MX-INPUT-0096</t>
        </is>
      </c>
      <c r="B98" s="54" t="inlineStr">
        <is>
          <t>P1</t>
        </is>
      </c>
      <c r="C98" s="37" t="inlineStr">
        <is>
          <t>Backend/Validation</t>
        </is>
      </c>
      <c r="D98" s="37" t="inlineStr">
        <is>
          <t>refund request — Oversized payload</t>
        </is>
      </c>
      <c r="E98" s="37" t="inlineStr">
        <is>
          <t>Confirms 'refund request' rejects the 'oversized payload' case at the boundary with a structured error, instead of crashing, hanging, or processing bad data. Validation gaps here cause corrupt data, leaks, or fraud depending on the endpoint.</t>
        </is>
      </c>
      <c r="F98" s="37" t="inlineStr">
        <is>
          <t>Ability to send crafted requests (proxy/API client) with a valid and invalid session.</t>
        </is>
      </c>
      <c r="G98" s="37" t="inlineStr">
        <is>
          <t>1) Against 'refund request', send an oversized/deeply-nested payload. 2) Observe the response and any side effects.</t>
        </is>
      </c>
      <c r="H98" s="37" t="inlineStr">
        <is>
          <t>Returns a structured validation/authorisation error; no crash, no partial write, no data leak.</t>
        </is>
      </c>
      <c r="I98" s="37" t="inlineStr">
        <is>
          <t>Request/response capture</t>
        </is>
      </c>
      <c r="J98" s="43" t="inlineStr">
        <is>
          <t>NOT RUN</t>
        </is>
      </c>
      <c r="K98" s="37" t="inlineStr">
        <is>
          <t>Claude (pending env)</t>
        </is>
      </c>
      <c r="L98" s="37" t="n"/>
      <c r="M98" s="37" t="n"/>
      <c r="N98" s="37" t="inlineStr">
        <is>
          <t>[T4 | Phase 4 | Claude (pending env)] Playwright/authenticated-API against running env. awaiting running staging URL + test accounts</t>
        </is>
      </c>
    </row>
    <row r="99" ht="43.25" customHeight="1" s="29">
      <c r="A99" s="36" t="inlineStr">
        <is>
          <t>MX-INPUT-0097</t>
        </is>
      </c>
      <c r="B99" s="54" t="inlineStr">
        <is>
          <t>P1</t>
        </is>
      </c>
      <c r="C99" s="36" t="inlineStr">
        <is>
          <t>Backend/Validation</t>
        </is>
      </c>
      <c r="D99" s="36" t="inlineStr">
        <is>
          <t>refund request — Injection attempt</t>
        </is>
      </c>
      <c r="E99" s="36" t="inlineStr">
        <is>
          <t>Confirms 'refund request' rejects the 'injection attempt' case at the boundary with a structured error, instead of crashing, hanging, or processing bad data. Validation gaps here cause corrupt data, leaks, or fraud depending on the endpoint.</t>
        </is>
      </c>
      <c r="F99" s="36" t="inlineStr">
        <is>
          <t>Ability to send crafted requests (proxy/API client) with a valid and invalid session.</t>
        </is>
      </c>
      <c r="G99" s="36" t="inlineStr">
        <is>
          <t>1) Against 'refund request', send SQL/script metacharacters in string fields. 2) Observe the response and any side effects.</t>
        </is>
      </c>
      <c r="H99" s="36" t="inlineStr">
        <is>
          <t>Returns a structured validation/authorisation error; no crash, no partial write, no data leak.</t>
        </is>
      </c>
      <c r="I99" s="36" t="inlineStr">
        <is>
          <t>Request/response capture</t>
        </is>
      </c>
      <c r="J99" s="41" t="inlineStr">
        <is>
          <t>NOT RUN</t>
        </is>
      </c>
      <c r="K99" s="36" t="inlineStr">
        <is>
          <t>Claude (pending env)</t>
        </is>
      </c>
      <c r="L99" s="36" t="n"/>
      <c r="M99" s="36" t="n"/>
      <c r="N99" s="36" t="inlineStr">
        <is>
          <t>[T4 | Phase 4 | Claude (pending env)] Playwright/authenticated-API against running env. awaiting running staging URL + test accounts</t>
        </is>
      </c>
    </row>
    <row r="100" ht="43.25" customHeight="1" s="29">
      <c r="A100" s="37" t="inlineStr">
        <is>
          <t>MX-INPUT-0098</t>
        </is>
      </c>
      <c r="B100" s="54" t="inlineStr">
        <is>
          <t>P1</t>
        </is>
      </c>
      <c r="C100" s="37" t="inlineStr">
        <is>
          <t>Backend/Validation</t>
        </is>
      </c>
      <c r="D100" s="37" t="inlineStr">
        <is>
          <t>refund request — Unauthorised caller</t>
        </is>
      </c>
      <c r="E100" s="37" t="inlineStr">
        <is>
          <t>Confirms 'refund request' rejects the 'unauthorised caller' case at the boundary with a structured error, instead of crashing, hanging, or processing bad data. Validation gaps here cause corrupt data, leaks, or fraud depending on the endpoint.</t>
        </is>
      </c>
      <c r="F100" s="37" t="inlineStr">
        <is>
          <t>Ability to send crafted requests (proxy/API client) with a valid and invalid session.</t>
        </is>
      </c>
      <c r="G100" s="37" t="inlineStr">
        <is>
          <t>1) Against 'refund request', call without a valid session / as the wrong role. 2) Observe the response and any side effects.</t>
        </is>
      </c>
      <c r="H100" s="37" t="inlineStr">
        <is>
          <t>Returns a structured validation/authorisation error; no crash, no partial write, no data leak.</t>
        </is>
      </c>
      <c r="I100" s="37" t="inlineStr">
        <is>
          <t>Request/response capture</t>
        </is>
      </c>
      <c r="J100" s="43" t="inlineStr">
        <is>
          <t>NOT RUN</t>
        </is>
      </c>
      <c r="K100" s="37" t="inlineStr">
        <is>
          <t>Claude (pending env)</t>
        </is>
      </c>
      <c r="L100" s="37" t="n"/>
      <c r="M100" s="37" t="n"/>
      <c r="N100" s="37" t="inlineStr">
        <is>
          <t>[T4 | Phase 4 | Claude (pending env)] Playwright/authenticated-API against running env. awaiting running staging URL + test accounts</t>
        </is>
      </c>
    </row>
    <row r="101" ht="43.25" customHeight="1" s="29">
      <c r="A101" s="36" t="inlineStr">
        <is>
          <t>MX-INPUT-0099</t>
        </is>
      </c>
      <c r="B101" s="54" t="inlineStr">
        <is>
          <t>P1</t>
        </is>
      </c>
      <c r="C101" s="36" t="inlineStr">
        <is>
          <t>Backend/Validation</t>
        </is>
      </c>
      <c r="D101" s="36" t="inlineStr">
        <is>
          <t>seat enrollment — Malformed UUID</t>
        </is>
      </c>
      <c r="E101" s="36" t="inlineStr">
        <is>
          <t>Confirms 'seat enrollment' rejects the 'malformed uuid' case at the boundary with a structured error, instead of crashing, hanging, or processing bad data. Validation gaps here cause corrupt data, leaks, or fraud depending on the endpoint.</t>
        </is>
      </c>
      <c r="F101" s="36" t="inlineStr">
        <is>
          <t>Ability to send crafted requests (proxy/API client) with a valid and invalid session.</t>
        </is>
      </c>
      <c r="G101" s="36" t="inlineStr">
        <is>
          <t>1) Against 'seat enrollment', send a non-UUID where a UUID is required. 2) Observe the response and any side effects.</t>
        </is>
      </c>
      <c r="H101" s="36" t="inlineStr">
        <is>
          <t>Returns a structured validation/authorisation error; no crash, no partial write, no data leak.</t>
        </is>
      </c>
      <c r="I101" s="36" t="inlineStr">
        <is>
          <t>Request/response capture</t>
        </is>
      </c>
      <c r="J101" s="41" t="inlineStr">
        <is>
          <t>NOT RUN</t>
        </is>
      </c>
      <c r="K101" s="36" t="inlineStr">
        <is>
          <t>Claude (pending env)</t>
        </is>
      </c>
      <c r="L101" s="36" t="n"/>
      <c r="M101" s="36" t="n"/>
      <c r="N101" s="36" t="inlineStr">
        <is>
          <t>[T4 | Phase 4 | Claude (pending env)] Playwright/authenticated-API against running env. awaiting running staging URL + test accounts</t>
        </is>
      </c>
    </row>
    <row r="102" ht="43.25" customHeight="1" s="29">
      <c r="A102" s="37" t="inlineStr">
        <is>
          <t>MX-INPUT-0100</t>
        </is>
      </c>
      <c r="B102" s="54" t="inlineStr">
        <is>
          <t>P1</t>
        </is>
      </c>
      <c r="C102" s="37" t="inlineStr">
        <is>
          <t>Backend/Validation</t>
        </is>
      </c>
      <c r="D102" s="37" t="inlineStr">
        <is>
          <t>seat enrollment — Missing required field</t>
        </is>
      </c>
      <c r="E102" s="37" t="inlineStr">
        <is>
          <t>Confirms 'seat enrollment' rejects the 'missing required field' case at the boundary with a structured error, instead of crashing, hanging, or processing bad data. Validation gaps here cause corrupt data, leaks, or fraud depending on the endpoint.</t>
        </is>
      </c>
      <c r="F102" s="37" t="inlineStr">
        <is>
          <t>Ability to send crafted requests (proxy/API client) with a valid and invalid session.</t>
        </is>
      </c>
      <c r="G102" s="37" t="inlineStr">
        <is>
          <t>1) Against 'seat enrollment', omit a required field. 2) Observe the response and any side effects.</t>
        </is>
      </c>
      <c r="H102" s="37" t="inlineStr">
        <is>
          <t>Returns a structured validation/authorisation error; no crash, no partial write, no data leak.</t>
        </is>
      </c>
      <c r="I102" s="37" t="inlineStr">
        <is>
          <t>Request/response capture</t>
        </is>
      </c>
      <c r="J102" s="43" t="inlineStr">
        <is>
          <t>NOT RUN</t>
        </is>
      </c>
      <c r="K102" s="37" t="inlineStr">
        <is>
          <t>Claude (pending env)</t>
        </is>
      </c>
      <c r="L102" s="37" t="n"/>
      <c r="M102" s="37" t="n"/>
      <c r="N102" s="37" t="inlineStr">
        <is>
          <t>[T4 | Phase 4 | Claude (pending env)] Playwright/authenticated-API against running env. awaiting running staging URL + test accounts</t>
        </is>
      </c>
    </row>
    <row r="103" ht="43.25" customHeight="1" s="29">
      <c r="A103" s="36" t="inlineStr">
        <is>
          <t>MX-INPUT-0101</t>
        </is>
      </c>
      <c r="B103" s="54" t="inlineStr">
        <is>
          <t>P1</t>
        </is>
      </c>
      <c r="C103" s="36" t="inlineStr">
        <is>
          <t>Backend/Validation</t>
        </is>
      </c>
      <c r="D103" s="36" t="inlineStr">
        <is>
          <t>seat enrollment — Wrong type</t>
        </is>
      </c>
      <c r="E103" s="36" t="inlineStr">
        <is>
          <t>Confirms 'seat enrollment' rejects the 'wrong type' case at the boundary with a structured error, instead of crashing, hanging, or processing bad data. Validation gaps here cause corrupt data, leaks, or fraud depending on the endpoint.</t>
        </is>
      </c>
      <c r="F103" s="36" t="inlineStr">
        <is>
          <t>Ability to send crafted requests (proxy/API client) with a valid and invalid session.</t>
        </is>
      </c>
      <c r="G103" s="36" t="inlineStr">
        <is>
          <t>1) Against 'seat enrollment', send a string where a number/enum is expected. 2) Observe the response and any side effects.</t>
        </is>
      </c>
      <c r="H103" s="36" t="inlineStr">
        <is>
          <t>Returns a structured validation/authorisation error; no crash, no partial write, no data leak.</t>
        </is>
      </c>
      <c r="I103" s="36" t="inlineStr">
        <is>
          <t>Request/response capture</t>
        </is>
      </c>
      <c r="J103" s="41" t="inlineStr">
        <is>
          <t>NOT RUN</t>
        </is>
      </c>
      <c r="K103" s="36" t="inlineStr">
        <is>
          <t>Claude (pending env)</t>
        </is>
      </c>
      <c r="L103" s="36" t="n"/>
      <c r="M103" s="36" t="n"/>
      <c r="N103" s="36" t="inlineStr">
        <is>
          <t>[T4 | Phase 4 | Claude (pending env)] Playwright/authenticated-API against running env. awaiting running staging URL + test accounts</t>
        </is>
      </c>
    </row>
    <row r="104" ht="43.25" customHeight="1" s="29">
      <c r="A104" s="37" t="inlineStr">
        <is>
          <t>MX-INPUT-0102</t>
        </is>
      </c>
      <c r="B104" s="54" t="inlineStr">
        <is>
          <t>P1</t>
        </is>
      </c>
      <c r="C104" s="37" t="inlineStr">
        <is>
          <t>Backend/Validation</t>
        </is>
      </c>
      <c r="D104" s="37" t="inlineStr">
        <is>
          <t>seat enrollment — Out-of-range value</t>
        </is>
      </c>
      <c r="E104" s="37" t="inlineStr">
        <is>
          <t>Confirms 'seat enrollment' rejects the 'out-of-range value' case at the boundary with a structured error, instead of crashing, hanging, or processing bad data. Validation gaps here cause corrupt data, leaks, or fraud depending on the endpoint.</t>
        </is>
      </c>
      <c r="F104" s="37" t="inlineStr">
        <is>
          <t>Ability to send crafted requests (proxy/API client) with a valid and invalid session.</t>
        </is>
      </c>
      <c r="G104" s="37" t="inlineStr">
        <is>
          <t>1) Against 'seat enrollment', send a negative/overflow/enum-violating value (e.g. negative amount, invalid grade). 2) Observe the response and any side effects.</t>
        </is>
      </c>
      <c r="H104" s="37" t="inlineStr">
        <is>
          <t>Returns a structured validation/authorisation error; no crash, no partial write, no data leak.</t>
        </is>
      </c>
      <c r="I104" s="37" t="inlineStr">
        <is>
          <t>Request/response capture</t>
        </is>
      </c>
      <c r="J104" s="43" t="inlineStr">
        <is>
          <t>NOT RUN</t>
        </is>
      </c>
      <c r="K104" s="37" t="inlineStr">
        <is>
          <t>Claude (pending env)</t>
        </is>
      </c>
      <c r="L104" s="37" t="n"/>
      <c r="M104" s="37" t="n"/>
      <c r="N104" s="37" t="inlineStr">
        <is>
          <t>[T4 | Phase 4 | Claude (pending env)] Playwright/authenticated-API against running env. awaiting running staging URL + test accounts</t>
        </is>
      </c>
    </row>
    <row r="105" ht="43.25" customHeight="1" s="29">
      <c r="A105" s="36" t="inlineStr">
        <is>
          <t>MX-INPUT-0103</t>
        </is>
      </c>
      <c r="B105" s="54" t="inlineStr">
        <is>
          <t>P1</t>
        </is>
      </c>
      <c r="C105" s="36" t="inlineStr">
        <is>
          <t>Backend/Validation</t>
        </is>
      </c>
      <c r="D105" s="36" t="inlineStr">
        <is>
          <t>seat enrollment — Oversized payload</t>
        </is>
      </c>
      <c r="E105" s="36" t="inlineStr">
        <is>
          <t>Confirms 'seat enrollment' rejects the 'oversized payload' case at the boundary with a structured error, instead of crashing, hanging, or processing bad data. Validation gaps here cause corrupt data, leaks, or fraud depending on the endpoint.</t>
        </is>
      </c>
      <c r="F105" s="36" t="inlineStr">
        <is>
          <t>Ability to send crafted requests (proxy/API client) with a valid and invalid session.</t>
        </is>
      </c>
      <c r="G105" s="36" t="inlineStr">
        <is>
          <t>1) Against 'seat enrollment', send an oversized/deeply-nested payload. 2) Observe the response and any side effects.</t>
        </is>
      </c>
      <c r="H105" s="36" t="inlineStr">
        <is>
          <t>Returns a structured validation/authorisation error; no crash, no partial write, no data leak.</t>
        </is>
      </c>
      <c r="I105" s="36" t="inlineStr">
        <is>
          <t>Request/response capture</t>
        </is>
      </c>
      <c r="J105" s="41" t="inlineStr">
        <is>
          <t>NOT RUN</t>
        </is>
      </c>
      <c r="K105" s="36" t="inlineStr">
        <is>
          <t>Claude (pending env)</t>
        </is>
      </c>
      <c r="L105" s="36" t="n"/>
      <c r="M105" s="36" t="n"/>
      <c r="N105" s="36" t="inlineStr">
        <is>
          <t>[T4 | Phase 4 | Claude (pending env)] Playwright/authenticated-API against running env. awaiting running staging URL + test accounts</t>
        </is>
      </c>
    </row>
    <row r="106" ht="43.25" customHeight="1" s="29">
      <c r="A106" s="37" t="inlineStr">
        <is>
          <t>MX-INPUT-0104</t>
        </is>
      </c>
      <c r="B106" s="54" t="inlineStr">
        <is>
          <t>P1</t>
        </is>
      </c>
      <c r="C106" s="37" t="inlineStr">
        <is>
          <t>Backend/Validation</t>
        </is>
      </c>
      <c r="D106" s="37" t="inlineStr">
        <is>
          <t>seat enrollment — Injection attempt</t>
        </is>
      </c>
      <c r="E106" s="37" t="inlineStr">
        <is>
          <t>Confirms 'seat enrollment' rejects the 'injection attempt' case at the boundary with a structured error, instead of crashing, hanging, or processing bad data. Validation gaps here cause corrupt data, leaks, or fraud depending on the endpoint.</t>
        </is>
      </c>
      <c r="F106" s="37" t="inlineStr">
        <is>
          <t>Ability to send crafted requests (proxy/API client) with a valid and invalid session.</t>
        </is>
      </c>
      <c r="G106" s="37" t="inlineStr">
        <is>
          <t>1) Against 'seat enrollment', send SQL/script metacharacters in string fields. 2) Observe the response and any side effects.</t>
        </is>
      </c>
      <c r="H106" s="37" t="inlineStr">
        <is>
          <t>Returns a structured validation/authorisation error; no crash, no partial write, no data leak.</t>
        </is>
      </c>
      <c r="I106" s="37" t="inlineStr">
        <is>
          <t>Request/response capture</t>
        </is>
      </c>
      <c r="J106" s="43" t="inlineStr">
        <is>
          <t>NOT RUN</t>
        </is>
      </c>
      <c r="K106" s="37" t="inlineStr">
        <is>
          <t>Claude (pending env)</t>
        </is>
      </c>
      <c r="L106" s="37" t="n"/>
      <c r="M106" s="37" t="n"/>
      <c r="N106" s="37" t="inlineStr">
        <is>
          <t>[T4 | Phase 4 | Claude (pending env)] Playwright/authenticated-API against running env. awaiting running staging URL + test accounts</t>
        </is>
      </c>
    </row>
    <row r="107" ht="43.25" customHeight="1" s="29">
      <c r="A107" s="36" t="inlineStr">
        <is>
          <t>MX-INPUT-0105</t>
        </is>
      </c>
      <c r="B107" s="54" t="inlineStr">
        <is>
          <t>P1</t>
        </is>
      </c>
      <c r="C107" s="36" t="inlineStr">
        <is>
          <t>Backend/Validation</t>
        </is>
      </c>
      <c r="D107" s="36" t="inlineStr">
        <is>
          <t>seat enrollment — Unauthorised caller</t>
        </is>
      </c>
      <c r="E107" s="36" t="inlineStr">
        <is>
          <t>Confirms 'seat enrollment' rejects the 'unauthorised caller' case at the boundary with a structured error, instead of crashing, hanging, or processing bad data. Validation gaps here cause corrupt data, leaks, or fraud depending on the endpoint.</t>
        </is>
      </c>
      <c r="F107" s="36" t="inlineStr">
        <is>
          <t>Ability to send crafted requests (proxy/API client) with a valid and invalid session.</t>
        </is>
      </c>
      <c r="G107" s="36" t="inlineStr">
        <is>
          <t>1) Against 'seat enrollment', call without a valid session / as the wrong role. 2) Observe the response and any side effects.</t>
        </is>
      </c>
      <c r="H107" s="36" t="inlineStr">
        <is>
          <t>Returns a structured validation/authorisation error; no crash, no partial write, no data leak.</t>
        </is>
      </c>
      <c r="I107" s="36" t="inlineStr">
        <is>
          <t>Request/response capture</t>
        </is>
      </c>
      <c r="J107" s="41" t="inlineStr">
        <is>
          <t>NOT RUN</t>
        </is>
      </c>
      <c r="K107" s="36" t="inlineStr">
        <is>
          <t>Claude (pending env)</t>
        </is>
      </c>
      <c r="L107" s="36" t="n"/>
      <c r="M107" s="36" t="n"/>
      <c r="N107" s="36" t="inlineStr">
        <is>
          <t>[T4 | Phase 4 | Claude (pending env)] Playwright/authenticated-API against running env. awaiting running staging URL + test accounts</t>
        </is>
      </c>
    </row>
    <row r="108" ht="43.25" customHeight="1" s="29">
      <c r="A108" s="37" t="inlineStr">
        <is>
          <t>MX-INPUT-0106</t>
        </is>
      </c>
      <c r="B108" s="54" t="inlineStr">
        <is>
          <t>P1</t>
        </is>
      </c>
      <c r="C108" s="37" t="inlineStr">
        <is>
          <t>Backend/Validation</t>
        </is>
      </c>
      <c r="D108" s="37" t="inlineStr">
        <is>
          <t>school claim token — Malformed UUID</t>
        </is>
      </c>
      <c r="E108" s="37" t="inlineStr">
        <is>
          <t>Confirms 'school claim token' rejects the 'malformed uuid' case at the boundary with a structured error, instead of crashing, hanging, or processing bad data. Validation gaps here cause corrupt data, leaks, or fraud depending on the endpoint.</t>
        </is>
      </c>
      <c r="F108" s="37" t="inlineStr">
        <is>
          <t>Ability to send crafted requests (proxy/API client) with a valid and invalid session.</t>
        </is>
      </c>
      <c r="G108" s="37" t="inlineStr">
        <is>
          <t>1) Against 'school claim token', send a non-UUID where a UUID is required. 2) Observe the response and any side effects.</t>
        </is>
      </c>
      <c r="H108" s="37" t="inlineStr">
        <is>
          <t>Returns a structured validation/authorisation error; no crash, no partial write, no data leak.</t>
        </is>
      </c>
      <c r="I108" s="37" t="inlineStr">
        <is>
          <t>Request/response capture</t>
        </is>
      </c>
      <c r="J108" s="43" t="inlineStr">
        <is>
          <t>NOT RUN</t>
        </is>
      </c>
      <c r="K108" s="37" t="inlineStr">
        <is>
          <t>Claude (pending env)</t>
        </is>
      </c>
      <c r="L108" s="37" t="n"/>
      <c r="M108" s="37" t="n"/>
      <c r="N108" s="37" t="inlineStr">
        <is>
          <t>[T4 | Phase 4 | Claude (pending env)] Playwright/authenticated-API against running env. awaiting running staging URL + test accounts</t>
        </is>
      </c>
    </row>
    <row r="109" ht="43.25" customHeight="1" s="29">
      <c r="A109" s="36" t="inlineStr">
        <is>
          <t>MX-INPUT-0107</t>
        </is>
      </c>
      <c r="B109" s="54" t="inlineStr">
        <is>
          <t>P1</t>
        </is>
      </c>
      <c r="C109" s="36" t="inlineStr">
        <is>
          <t>Backend/Validation</t>
        </is>
      </c>
      <c r="D109" s="36" t="inlineStr">
        <is>
          <t>school claim token — Missing required field</t>
        </is>
      </c>
      <c r="E109" s="36" t="inlineStr">
        <is>
          <t>Confirms 'school claim token' rejects the 'missing required field' case at the boundary with a structured error, instead of crashing, hanging, or processing bad data. Validation gaps here cause corrupt data, leaks, or fraud depending on the endpoint.</t>
        </is>
      </c>
      <c r="F109" s="36" t="inlineStr">
        <is>
          <t>Ability to send crafted requests (proxy/API client) with a valid and invalid session.</t>
        </is>
      </c>
      <c r="G109" s="36" t="inlineStr">
        <is>
          <t>1) Against 'school claim token', omit a required field. 2) Observe the response and any side effects.</t>
        </is>
      </c>
      <c r="H109" s="36" t="inlineStr">
        <is>
          <t>Returns a structured validation/authorisation error; no crash, no partial write, no data leak.</t>
        </is>
      </c>
      <c r="I109" s="36" t="inlineStr">
        <is>
          <t>Request/response capture</t>
        </is>
      </c>
      <c r="J109" s="41" t="inlineStr">
        <is>
          <t>NOT RUN</t>
        </is>
      </c>
      <c r="K109" s="36" t="inlineStr">
        <is>
          <t>Claude (pending env)</t>
        </is>
      </c>
      <c r="L109" s="36" t="n"/>
      <c r="M109" s="36" t="n"/>
      <c r="N109" s="36" t="inlineStr">
        <is>
          <t>[T4 | Phase 4 | Claude (pending env)] Playwright/authenticated-API against running env. awaiting running staging URL + test accounts</t>
        </is>
      </c>
    </row>
    <row r="110" ht="43.25" customHeight="1" s="29">
      <c r="A110" s="37" t="inlineStr">
        <is>
          <t>MX-INPUT-0108</t>
        </is>
      </c>
      <c r="B110" s="54" t="inlineStr">
        <is>
          <t>P1</t>
        </is>
      </c>
      <c r="C110" s="37" t="inlineStr">
        <is>
          <t>Backend/Validation</t>
        </is>
      </c>
      <c r="D110" s="37" t="inlineStr">
        <is>
          <t>school claim token — Wrong type</t>
        </is>
      </c>
      <c r="E110" s="37" t="inlineStr">
        <is>
          <t>Confirms 'school claim token' rejects the 'wrong type' case at the boundary with a structured error, instead of crashing, hanging, or processing bad data. Validation gaps here cause corrupt data, leaks, or fraud depending on the endpoint.</t>
        </is>
      </c>
      <c r="F110" s="37" t="inlineStr">
        <is>
          <t>Ability to send crafted requests (proxy/API client) with a valid and invalid session.</t>
        </is>
      </c>
      <c r="G110" s="37" t="inlineStr">
        <is>
          <t>1) Against 'school claim token', send a string where a number/enum is expected. 2) Observe the response and any side effects.</t>
        </is>
      </c>
      <c r="H110" s="37" t="inlineStr">
        <is>
          <t>Returns a structured validation/authorisation error; no crash, no partial write, no data leak.</t>
        </is>
      </c>
      <c r="I110" s="37" t="inlineStr">
        <is>
          <t>Request/response capture</t>
        </is>
      </c>
      <c r="J110" s="43" t="inlineStr">
        <is>
          <t>NOT RUN</t>
        </is>
      </c>
      <c r="K110" s="37" t="inlineStr">
        <is>
          <t>Claude (pending env)</t>
        </is>
      </c>
      <c r="L110" s="37" t="n"/>
      <c r="M110" s="37" t="n"/>
      <c r="N110" s="37" t="inlineStr">
        <is>
          <t>[T4 | Phase 4 | Claude (pending env)] Playwright/authenticated-API against running env. awaiting running staging URL + test accounts</t>
        </is>
      </c>
    </row>
    <row r="111" ht="43.25" customHeight="1" s="29">
      <c r="A111" s="36" t="inlineStr">
        <is>
          <t>MX-INPUT-0109</t>
        </is>
      </c>
      <c r="B111" s="54" t="inlineStr">
        <is>
          <t>P1</t>
        </is>
      </c>
      <c r="C111" s="36" t="inlineStr">
        <is>
          <t>Backend/Validation</t>
        </is>
      </c>
      <c r="D111" s="36" t="inlineStr">
        <is>
          <t>school claim token — Out-of-range value</t>
        </is>
      </c>
      <c r="E111" s="36" t="inlineStr">
        <is>
          <t>Confirms 'school claim token' rejects the 'out-of-range value' case at the boundary with a structured error, instead of crashing, hanging, or processing bad data. Validation gaps here cause corrupt data, leaks, or fraud depending on the endpoint.</t>
        </is>
      </c>
      <c r="F111" s="36" t="inlineStr">
        <is>
          <t>Ability to send crafted requests (proxy/API client) with a valid and invalid session.</t>
        </is>
      </c>
      <c r="G111" s="36" t="inlineStr">
        <is>
          <t>1) Against 'school claim token', send a negative/overflow/enum-violating value (e.g. negative amount, invalid grade). 2) Observe the response and any side effects.</t>
        </is>
      </c>
      <c r="H111" s="36" t="inlineStr">
        <is>
          <t>Returns a structured validation/authorisation error; no crash, no partial write, no data leak.</t>
        </is>
      </c>
      <c r="I111" s="36" t="inlineStr">
        <is>
          <t>Request/response capture</t>
        </is>
      </c>
      <c r="J111" s="41" t="inlineStr">
        <is>
          <t>NOT RUN</t>
        </is>
      </c>
      <c r="K111" s="36" t="inlineStr">
        <is>
          <t>Claude (pending env)</t>
        </is>
      </c>
      <c r="L111" s="36" t="n"/>
      <c r="M111" s="36" t="n"/>
      <c r="N111" s="36" t="inlineStr">
        <is>
          <t>[T4 | Phase 4 | Claude (pending env)] Playwright/authenticated-API against running env. awaiting running staging URL + test accounts</t>
        </is>
      </c>
    </row>
    <row r="112" ht="43.25" customHeight="1" s="29">
      <c r="A112" s="37" t="inlineStr">
        <is>
          <t>MX-INPUT-0110</t>
        </is>
      </c>
      <c r="B112" s="54" t="inlineStr">
        <is>
          <t>P1</t>
        </is>
      </c>
      <c r="C112" s="37" t="inlineStr">
        <is>
          <t>Backend/Validation</t>
        </is>
      </c>
      <c r="D112" s="37" t="inlineStr">
        <is>
          <t>school claim token — Oversized payload</t>
        </is>
      </c>
      <c r="E112" s="37" t="inlineStr">
        <is>
          <t>Confirms 'school claim token' rejects the 'oversized payload' case at the boundary with a structured error, instead of crashing, hanging, or processing bad data. Validation gaps here cause corrupt data, leaks, or fraud depending on the endpoint.</t>
        </is>
      </c>
      <c r="F112" s="37" t="inlineStr">
        <is>
          <t>Ability to send crafted requests (proxy/API client) with a valid and invalid session.</t>
        </is>
      </c>
      <c r="G112" s="37" t="inlineStr">
        <is>
          <t>1) Against 'school claim token', send an oversized/deeply-nested payload. 2) Observe the response and any side effects.</t>
        </is>
      </c>
      <c r="H112" s="37" t="inlineStr">
        <is>
          <t>Returns a structured validation/authorisation error; no crash, no partial write, no data leak.</t>
        </is>
      </c>
      <c r="I112" s="37" t="inlineStr">
        <is>
          <t>Request/response capture</t>
        </is>
      </c>
      <c r="J112" s="43" t="inlineStr">
        <is>
          <t>NOT RUN</t>
        </is>
      </c>
      <c r="K112" s="37" t="inlineStr">
        <is>
          <t>Claude (pending env)</t>
        </is>
      </c>
      <c r="L112" s="37" t="n"/>
      <c r="M112" s="37" t="n"/>
      <c r="N112" s="37" t="inlineStr">
        <is>
          <t>[T4 | Phase 4 | Claude (pending env)] Playwright/authenticated-API against running env. awaiting running staging URL + test accounts</t>
        </is>
      </c>
    </row>
    <row r="113" ht="43.25" customHeight="1" s="29">
      <c r="A113" s="36" t="inlineStr">
        <is>
          <t>MX-INPUT-0111</t>
        </is>
      </c>
      <c r="B113" s="54" t="inlineStr">
        <is>
          <t>P1</t>
        </is>
      </c>
      <c r="C113" s="36" t="inlineStr">
        <is>
          <t>Backend/Validation</t>
        </is>
      </c>
      <c r="D113" s="36" t="inlineStr">
        <is>
          <t>school claim token — Injection attempt</t>
        </is>
      </c>
      <c r="E113" s="36" t="inlineStr">
        <is>
          <t>Confirms 'school claim token' rejects the 'injection attempt' case at the boundary with a structured error, instead of crashing, hanging, or processing bad data. Validation gaps here cause corrupt data, leaks, or fraud depending on the endpoint.</t>
        </is>
      </c>
      <c r="F113" s="36" t="inlineStr">
        <is>
          <t>Ability to send crafted requests (proxy/API client) with a valid and invalid session.</t>
        </is>
      </c>
      <c r="G113" s="36" t="inlineStr">
        <is>
          <t>1) Against 'school claim token', send SQL/script metacharacters in string fields. 2) Observe the response and any side effects.</t>
        </is>
      </c>
      <c r="H113" s="36" t="inlineStr">
        <is>
          <t>Returns a structured validation/authorisation error; no crash, no partial write, no data leak.</t>
        </is>
      </c>
      <c r="I113" s="36" t="inlineStr">
        <is>
          <t>Request/response capture</t>
        </is>
      </c>
      <c r="J113" s="41" t="inlineStr">
        <is>
          <t>NOT RUN</t>
        </is>
      </c>
      <c r="K113" s="36" t="inlineStr">
        <is>
          <t>Claude (pending env)</t>
        </is>
      </c>
      <c r="L113" s="36" t="n"/>
      <c r="M113" s="36" t="n"/>
      <c r="N113" s="36" t="inlineStr">
        <is>
          <t>[T4 | Phase 4 | Claude (pending env)] Playwright/authenticated-API against running env. awaiting running staging URL + test accounts</t>
        </is>
      </c>
    </row>
    <row r="114" ht="43.25" customHeight="1" s="29">
      <c r="A114" s="37" t="inlineStr">
        <is>
          <t>MX-INPUT-0112</t>
        </is>
      </c>
      <c r="B114" s="54" t="inlineStr">
        <is>
          <t>P1</t>
        </is>
      </c>
      <c r="C114" s="37" t="inlineStr">
        <is>
          <t>Backend/Validation</t>
        </is>
      </c>
      <c r="D114" s="37" t="inlineStr">
        <is>
          <t>school claim token — Unauthorised caller</t>
        </is>
      </c>
      <c r="E114" s="37" t="inlineStr">
        <is>
          <t>Confirms 'school claim token' rejects the 'unauthorised caller' case at the boundary with a structured error, instead of crashing, hanging, or processing bad data. Validation gaps here cause corrupt data, leaks, or fraud depending on the endpoint.</t>
        </is>
      </c>
      <c r="F114" s="37" t="inlineStr">
        <is>
          <t>Ability to send crafted requests (proxy/API client) with a valid and invalid session.</t>
        </is>
      </c>
      <c r="G114" s="37" t="inlineStr">
        <is>
          <t>1) Against 'school claim token', call without a valid session / as the wrong role. 2) Observe the response and any side effects.</t>
        </is>
      </c>
      <c r="H114" s="37" t="inlineStr">
        <is>
          <t>Returns a structured validation/authorisation error; no crash, no partial write, no data leak.</t>
        </is>
      </c>
      <c r="I114" s="37" t="inlineStr">
        <is>
          <t>Request/response capture</t>
        </is>
      </c>
      <c r="J114" s="43" t="inlineStr">
        <is>
          <t>NOT RUN</t>
        </is>
      </c>
      <c r="K114" s="37" t="inlineStr">
        <is>
          <t>Claude (pending env)</t>
        </is>
      </c>
      <c r="L114" s="37" t="n"/>
      <c r="M114" s="37" t="n"/>
      <c r="N114" s="37" t="inlineStr">
        <is>
          <t>[T4 | Phase 4 | Claude (pending env)] Playwright/authenticated-API against running env. awaiting running staging URL + test accounts</t>
        </is>
      </c>
    </row>
    <row r="115" ht="43.25" customHeight="1" s="29">
      <c r="A115" s="36" t="inlineStr">
        <is>
          <t>MX-INPUT-0113</t>
        </is>
      </c>
      <c r="B115" s="54" t="inlineStr">
        <is>
          <t>P1</t>
        </is>
      </c>
      <c r="C115" s="36" t="inlineStr">
        <is>
          <t>Backend/Validation</t>
        </is>
      </c>
      <c r="D115" s="36" t="inlineStr">
        <is>
          <t>offline payment approval — Malformed UUID</t>
        </is>
      </c>
      <c r="E115" s="36" t="inlineStr">
        <is>
          <t>Confirms 'offline payment approval' rejects the 'malformed uuid' case at the boundary with a structured error, instead of crashing, hanging, or processing bad data. Validation gaps here cause corrupt data, leaks, or fraud depending on the endpoint.</t>
        </is>
      </c>
      <c r="F115" s="36" t="inlineStr">
        <is>
          <t>Ability to send crafted requests (proxy/API client) with a valid and invalid session.</t>
        </is>
      </c>
      <c r="G115" s="36" t="inlineStr">
        <is>
          <t>1) Against 'offline payment approval', send a non-UUID where a UUID is required. 2) Observe the response and any side effects.</t>
        </is>
      </c>
      <c r="H115" s="36" t="inlineStr">
        <is>
          <t>Returns a structured validation/authorisation error; no crash, no partial write, no data leak.</t>
        </is>
      </c>
      <c r="I115" s="36" t="inlineStr">
        <is>
          <t>Request/response capture</t>
        </is>
      </c>
      <c r="J115" s="41" t="inlineStr">
        <is>
          <t>NOT RUN</t>
        </is>
      </c>
      <c r="K115" s="36" t="inlineStr">
        <is>
          <t>Claude (pending env)</t>
        </is>
      </c>
      <c r="L115" s="36" t="n"/>
      <c r="M115" s="36" t="n"/>
      <c r="N115" s="36" t="inlineStr">
        <is>
          <t>[T4 | Phase 4 | Claude (pending env)] Playwright/authenticated-API against running env. awaiting running staging URL + test accounts</t>
        </is>
      </c>
    </row>
    <row r="116" ht="43.25" customHeight="1" s="29">
      <c r="A116" s="37" t="inlineStr">
        <is>
          <t>MX-INPUT-0114</t>
        </is>
      </c>
      <c r="B116" s="54" t="inlineStr">
        <is>
          <t>P1</t>
        </is>
      </c>
      <c r="C116" s="37" t="inlineStr">
        <is>
          <t>Backend/Validation</t>
        </is>
      </c>
      <c r="D116" s="37" t="inlineStr">
        <is>
          <t>offline payment approval — Missing required field</t>
        </is>
      </c>
      <c r="E116" s="37" t="inlineStr">
        <is>
          <t>Confirms 'offline payment approval' rejects the 'missing required field' case at the boundary with a structured error, instead of crashing, hanging, or processing bad data. Validation gaps here cause corrupt data, leaks, or fraud depending on the endpoint.</t>
        </is>
      </c>
      <c r="F116" s="37" t="inlineStr">
        <is>
          <t>Ability to send crafted requests (proxy/API client) with a valid and invalid session.</t>
        </is>
      </c>
      <c r="G116" s="37" t="inlineStr">
        <is>
          <t>1) Against 'offline payment approval', omit a required field. 2) Observe the response and any side effects.</t>
        </is>
      </c>
      <c r="H116" s="37" t="inlineStr">
        <is>
          <t>Returns a structured validation/authorisation error; no crash, no partial write, no data leak.</t>
        </is>
      </c>
      <c r="I116" s="37" t="inlineStr">
        <is>
          <t>Request/response capture</t>
        </is>
      </c>
      <c r="J116" s="43" t="inlineStr">
        <is>
          <t>NOT RUN</t>
        </is>
      </c>
      <c r="K116" s="37" t="inlineStr">
        <is>
          <t>Claude (pending env)</t>
        </is>
      </c>
      <c r="L116" s="37" t="n"/>
      <c r="M116" s="37" t="n"/>
      <c r="N116" s="37" t="inlineStr">
        <is>
          <t>[T4 | Phase 4 | Claude (pending env)] Playwright/authenticated-API against running env. awaiting running staging URL + test accounts</t>
        </is>
      </c>
    </row>
    <row r="117" ht="43.25" customHeight="1" s="29">
      <c r="A117" s="36" t="inlineStr">
        <is>
          <t>MX-INPUT-0115</t>
        </is>
      </c>
      <c r="B117" s="54" t="inlineStr">
        <is>
          <t>P1</t>
        </is>
      </c>
      <c r="C117" s="36" t="inlineStr">
        <is>
          <t>Backend/Validation</t>
        </is>
      </c>
      <c r="D117" s="36" t="inlineStr">
        <is>
          <t>offline payment approval — Wrong type</t>
        </is>
      </c>
      <c r="E117" s="36" t="inlineStr">
        <is>
          <t>Confirms 'offline payment approval' rejects the 'wrong type' case at the boundary with a structured error, instead of crashing, hanging, or processing bad data. Validation gaps here cause corrupt data, leaks, or fraud depending on the endpoint.</t>
        </is>
      </c>
      <c r="F117" s="36" t="inlineStr">
        <is>
          <t>Ability to send crafted requests (proxy/API client) with a valid and invalid session.</t>
        </is>
      </c>
      <c r="G117" s="36" t="inlineStr">
        <is>
          <t>1) Against 'offline payment approval', send a string where a number/enum is expected. 2) Observe the response and any side effects.</t>
        </is>
      </c>
      <c r="H117" s="36" t="inlineStr">
        <is>
          <t>Returns a structured validation/authorisation error; no crash, no partial write, no data leak.</t>
        </is>
      </c>
      <c r="I117" s="36" t="inlineStr">
        <is>
          <t>Request/response capture</t>
        </is>
      </c>
      <c r="J117" s="41" t="inlineStr">
        <is>
          <t>NOT RUN</t>
        </is>
      </c>
      <c r="K117" s="36" t="inlineStr">
        <is>
          <t>Claude (pending env)</t>
        </is>
      </c>
      <c r="L117" s="36" t="n"/>
      <c r="M117" s="36" t="n"/>
      <c r="N117" s="36" t="inlineStr">
        <is>
          <t>[T4 | Phase 4 | Claude (pending env)] Playwright/authenticated-API against running env. awaiting running staging URL + test accounts</t>
        </is>
      </c>
    </row>
    <row r="118" ht="43.25" customHeight="1" s="29">
      <c r="A118" s="37" t="inlineStr">
        <is>
          <t>MX-INPUT-0116</t>
        </is>
      </c>
      <c r="B118" s="54" t="inlineStr">
        <is>
          <t>P1</t>
        </is>
      </c>
      <c r="C118" s="37" t="inlineStr">
        <is>
          <t>Backend/Validation</t>
        </is>
      </c>
      <c r="D118" s="37" t="inlineStr">
        <is>
          <t>offline payment approval — Out-of-range value</t>
        </is>
      </c>
      <c r="E118" s="37" t="inlineStr">
        <is>
          <t>Confirms 'offline payment approval' rejects the 'out-of-range value' case at the boundary with a structured error, instead of crashing, hanging, or processing bad data. Validation gaps here cause corrupt data, leaks, or fraud depending on the endpoint.</t>
        </is>
      </c>
      <c r="F118" s="37" t="inlineStr">
        <is>
          <t>Ability to send crafted requests (proxy/API client) with a valid and invalid session.</t>
        </is>
      </c>
      <c r="G118" s="37" t="inlineStr">
        <is>
          <t>1) Against 'offline payment approval', send a negative/overflow/enum-violating value (e.g. negative amount, invalid grade). 2) Observe the response and any side effects.</t>
        </is>
      </c>
      <c r="H118" s="37" t="inlineStr">
        <is>
          <t>Returns a structured validation/authorisation error; no crash, no partial write, no data leak.</t>
        </is>
      </c>
      <c r="I118" s="37" t="inlineStr">
        <is>
          <t>Request/response capture</t>
        </is>
      </c>
      <c r="J118" s="43" t="inlineStr">
        <is>
          <t>NOT RUN</t>
        </is>
      </c>
      <c r="K118" s="37" t="inlineStr">
        <is>
          <t>Claude (pending env)</t>
        </is>
      </c>
      <c r="L118" s="37" t="n"/>
      <c r="M118" s="37" t="n"/>
      <c r="N118" s="37" t="inlineStr">
        <is>
          <t>[T4 | Phase 4 | Claude (pending env)] Playwright/authenticated-API against running env. awaiting running staging URL + test accounts</t>
        </is>
      </c>
    </row>
    <row r="119" ht="43.25" customHeight="1" s="29">
      <c r="A119" s="36" t="inlineStr">
        <is>
          <t>MX-INPUT-0117</t>
        </is>
      </c>
      <c r="B119" s="54" t="inlineStr">
        <is>
          <t>P1</t>
        </is>
      </c>
      <c r="C119" s="36" t="inlineStr">
        <is>
          <t>Backend/Validation</t>
        </is>
      </c>
      <c r="D119" s="36" t="inlineStr">
        <is>
          <t>offline payment approval — Oversized payload</t>
        </is>
      </c>
      <c r="E119" s="36" t="inlineStr">
        <is>
          <t>Confirms 'offline payment approval' rejects the 'oversized payload' case at the boundary with a structured error, instead of crashing, hanging, or processing bad data. Validation gaps here cause corrupt data, leaks, or fraud depending on the endpoint.</t>
        </is>
      </c>
      <c r="F119" s="36" t="inlineStr">
        <is>
          <t>Ability to send crafted requests (proxy/API client) with a valid and invalid session.</t>
        </is>
      </c>
      <c r="G119" s="36" t="inlineStr">
        <is>
          <t>1) Against 'offline payment approval', send an oversized/deeply-nested payload. 2) Observe the response and any side effects.</t>
        </is>
      </c>
      <c r="H119" s="36" t="inlineStr">
        <is>
          <t>Returns a structured validation/authorisation error; no crash, no partial write, no data leak.</t>
        </is>
      </c>
      <c r="I119" s="36" t="inlineStr">
        <is>
          <t>Request/response capture</t>
        </is>
      </c>
      <c r="J119" s="41" t="inlineStr">
        <is>
          <t>NOT RUN</t>
        </is>
      </c>
      <c r="K119" s="36" t="inlineStr">
        <is>
          <t>Claude (pending env)</t>
        </is>
      </c>
      <c r="L119" s="36" t="n"/>
      <c r="M119" s="36" t="n"/>
      <c r="N119" s="36" t="inlineStr">
        <is>
          <t>[T4 | Phase 4 | Claude (pending env)] Playwright/authenticated-API against running env. awaiting running staging URL + test accounts</t>
        </is>
      </c>
    </row>
    <row r="120" ht="43.25" customHeight="1" s="29">
      <c r="A120" s="37" t="inlineStr">
        <is>
          <t>MX-INPUT-0118</t>
        </is>
      </c>
      <c r="B120" s="54" t="inlineStr">
        <is>
          <t>P1</t>
        </is>
      </c>
      <c r="C120" s="37" t="inlineStr">
        <is>
          <t>Backend/Validation</t>
        </is>
      </c>
      <c r="D120" s="37" t="inlineStr">
        <is>
          <t>offline payment approval — Injection attempt</t>
        </is>
      </c>
      <c r="E120" s="37" t="inlineStr">
        <is>
          <t>Confirms 'offline payment approval' rejects the 'injection attempt' case at the boundary with a structured error, instead of crashing, hanging, or processing bad data. Validation gaps here cause corrupt data, leaks, or fraud depending on the endpoint.</t>
        </is>
      </c>
      <c r="F120" s="37" t="inlineStr">
        <is>
          <t>Ability to send crafted requests (proxy/API client) with a valid and invalid session.</t>
        </is>
      </c>
      <c r="G120" s="37" t="inlineStr">
        <is>
          <t>1) Against 'offline payment approval', send SQL/script metacharacters in string fields. 2) Observe the response and any side effects.</t>
        </is>
      </c>
      <c r="H120" s="37" t="inlineStr">
        <is>
          <t>Returns a structured validation/authorisation error; no crash, no partial write, no data leak.</t>
        </is>
      </c>
      <c r="I120" s="37" t="inlineStr">
        <is>
          <t>Request/response capture</t>
        </is>
      </c>
      <c r="J120" s="43" t="inlineStr">
        <is>
          <t>NOT RUN</t>
        </is>
      </c>
      <c r="K120" s="37" t="inlineStr">
        <is>
          <t>Claude (pending env)</t>
        </is>
      </c>
      <c r="L120" s="37" t="n"/>
      <c r="M120" s="37" t="n"/>
      <c r="N120" s="37" t="inlineStr">
        <is>
          <t>[T4 | Phase 4 | Claude (pending env)] Playwright/authenticated-API against running env. awaiting running staging URL + test accounts</t>
        </is>
      </c>
    </row>
    <row r="121" ht="43.25" customHeight="1" s="29">
      <c r="A121" s="36" t="inlineStr">
        <is>
          <t>MX-INPUT-0119</t>
        </is>
      </c>
      <c r="B121" s="53" t="inlineStr">
        <is>
          <t>P0</t>
        </is>
      </c>
      <c r="C121" s="36" t="inlineStr">
        <is>
          <t>Backend/Validation</t>
        </is>
      </c>
      <c r="D121" s="36" t="inlineStr">
        <is>
          <t>offline payment approval — Unauthorised caller</t>
        </is>
      </c>
      <c r="E121" s="36" t="inlineStr">
        <is>
          <t>Confirms 'offline payment approval' rejects the 'unauthorised caller' case at the boundary with a structured error, instead of crashing, hanging, or processing bad data. Validation gaps here cause corrupt data, leaks, or fraud depending on the endpoint.</t>
        </is>
      </c>
      <c r="F121" s="36" t="inlineStr">
        <is>
          <t>Ability to send crafted requests (proxy/API client) with a valid and invalid session.</t>
        </is>
      </c>
      <c r="G121" s="36" t="inlineStr">
        <is>
          <t>1) Against 'offline payment approval', call without a valid session / as the wrong role. 2) Observe the response and any side effects.</t>
        </is>
      </c>
      <c r="H121" s="36" t="inlineStr">
        <is>
          <t>Returns a structured validation/authorisation error; no crash, no partial write, no data leak.</t>
        </is>
      </c>
      <c r="I121" s="36" t="inlineStr">
        <is>
          <t>Request/response capture</t>
        </is>
      </c>
      <c r="J121" s="41" t="inlineStr">
        <is>
          <t>NOT RUN</t>
        </is>
      </c>
      <c r="K121" s="36" t="inlineStr">
        <is>
          <t>Claude (pending env)</t>
        </is>
      </c>
      <c r="L121" s="36" t="n"/>
      <c r="M121" s="36" t="n"/>
      <c r="N121" s="36" t="inlineStr">
        <is>
          <t>[T4 | Phase 4 | Claude (pending env)] Playwright/authenticated-API against running env. awaiting running staging URL + test accounts</t>
        </is>
      </c>
    </row>
    <row r="122" ht="43.25" customHeight="1" s="29">
      <c r="A122" s="37" t="inlineStr">
        <is>
          <t>MX-INPUT-0120</t>
        </is>
      </c>
      <c r="B122" s="54" t="inlineStr">
        <is>
          <t>P1</t>
        </is>
      </c>
      <c r="C122" s="37" t="inlineStr">
        <is>
          <t>Backend/Validation</t>
        </is>
      </c>
      <c r="D122" s="37" t="inlineStr">
        <is>
          <t>invoice generation — Malformed UUID</t>
        </is>
      </c>
      <c r="E122" s="37" t="inlineStr">
        <is>
          <t>Confirms 'invoice generation' rejects the 'malformed uuid' case at the boundary with a structured error, instead of crashing, hanging, or processing bad data. Validation gaps here cause corrupt data, leaks, or fraud depending on the endpoint.</t>
        </is>
      </c>
      <c r="F122" s="37" t="inlineStr">
        <is>
          <t>Ability to send crafted requests (proxy/API client) with a valid and invalid session.</t>
        </is>
      </c>
      <c r="G122" s="37" t="inlineStr">
        <is>
          <t>1) Against 'invoice generation', send a non-UUID where a UUID is required. 2) Observe the response and any side effects.</t>
        </is>
      </c>
      <c r="H122" s="37" t="inlineStr">
        <is>
          <t>Returns a structured validation/authorisation error; no crash, no partial write, no data leak.</t>
        </is>
      </c>
      <c r="I122" s="37" t="inlineStr">
        <is>
          <t>Request/response capture</t>
        </is>
      </c>
      <c r="J122" s="43" t="inlineStr">
        <is>
          <t>NOT RUN</t>
        </is>
      </c>
      <c r="K122" s="37" t="inlineStr">
        <is>
          <t>Claude (pending env)</t>
        </is>
      </c>
      <c r="L122" s="37" t="n"/>
      <c r="M122" s="37" t="n"/>
      <c r="N122" s="37" t="inlineStr">
        <is>
          <t>[T4 | Phase 4 | Claude (pending env)] Playwright/authenticated-API against running env. awaiting running staging URL + test accounts</t>
        </is>
      </c>
    </row>
    <row r="123" ht="43.25" customHeight="1" s="29">
      <c r="A123" s="36" t="inlineStr">
        <is>
          <t>MX-INPUT-0121</t>
        </is>
      </c>
      <c r="B123" s="54" t="inlineStr">
        <is>
          <t>P1</t>
        </is>
      </c>
      <c r="C123" s="36" t="inlineStr">
        <is>
          <t>Backend/Validation</t>
        </is>
      </c>
      <c r="D123" s="36" t="inlineStr">
        <is>
          <t>invoice generation — Missing required field</t>
        </is>
      </c>
      <c r="E123" s="36" t="inlineStr">
        <is>
          <t>Confirms 'invoice generation' rejects the 'missing required field' case at the boundary with a structured error, instead of crashing, hanging, or processing bad data. Validation gaps here cause corrupt data, leaks, or fraud depending on the endpoint.</t>
        </is>
      </c>
      <c r="F123" s="36" t="inlineStr">
        <is>
          <t>Ability to send crafted requests (proxy/API client) with a valid and invalid session.</t>
        </is>
      </c>
      <c r="G123" s="36" t="inlineStr">
        <is>
          <t>1) Against 'invoice generation', omit a required field. 2) Observe the response and any side effects.</t>
        </is>
      </c>
      <c r="H123" s="36" t="inlineStr">
        <is>
          <t>Returns a structured validation/authorisation error; no crash, no partial write, no data leak.</t>
        </is>
      </c>
      <c r="I123" s="36" t="inlineStr">
        <is>
          <t>Request/response capture</t>
        </is>
      </c>
      <c r="J123" s="41" t="inlineStr">
        <is>
          <t>NOT RUN</t>
        </is>
      </c>
      <c r="K123" s="36" t="inlineStr">
        <is>
          <t>Claude (pending env)</t>
        </is>
      </c>
      <c r="L123" s="36" t="n"/>
      <c r="M123" s="36" t="n"/>
      <c r="N123" s="36" t="inlineStr">
        <is>
          <t>[T4 | Phase 4 | Claude (pending env)] Playwright/authenticated-API against running env. awaiting running staging URL + test accounts</t>
        </is>
      </c>
    </row>
    <row r="124" ht="43.25" customHeight="1" s="29">
      <c r="A124" s="37" t="inlineStr">
        <is>
          <t>MX-INPUT-0122</t>
        </is>
      </c>
      <c r="B124" s="54" t="inlineStr">
        <is>
          <t>P1</t>
        </is>
      </c>
      <c r="C124" s="37" t="inlineStr">
        <is>
          <t>Backend/Validation</t>
        </is>
      </c>
      <c r="D124" s="37" t="inlineStr">
        <is>
          <t>invoice generation — Wrong type</t>
        </is>
      </c>
      <c r="E124" s="37" t="inlineStr">
        <is>
          <t>Confirms 'invoice generation' rejects the 'wrong type' case at the boundary with a structured error, instead of crashing, hanging, or processing bad data. Validation gaps here cause corrupt data, leaks, or fraud depending on the endpoint.</t>
        </is>
      </c>
      <c r="F124" s="37" t="inlineStr">
        <is>
          <t>Ability to send crafted requests (proxy/API client) with a valid and invalid session.</t>
        </is>
      </c>
      <c r="G124" s="37" t="inlineStr">
        <is>
          <t>1) Against 'invoice generation', send a string where a number/enum is expected. 2) Observe the response and any side effects.</t>
        </is>
      </c>
      <c r="H124" s="37" t="inlineStr">
        <is>
          <t>Returns a structured validation/authorisation error; no crash, no partial write, no data leak.</t>
        </is>
      </c>
      <c r="I124" s="37" t="inlineStr">
        <is>
          <t>Request/response capture</t>
        </is>
      </c>
      <c r="J124" s="43" t="inlineStr">
        <is>
          <t>NOT RUN</t>
        </is>
      </c>
      <c r="K124" s="37" t="inlineStr">
        <is>
          <t>Claude (pending env)</t>
        </is>
      </c>
      <c r="L124" s="37" t="n"/>
      <c r="M124" s="37" t="n"/>
      <c r="N124" s="37" t="inlineStr">
        <is>
          <t>[T4 | Phase 4 | Claude (pending env)] Playwright/authenticated-API against running env. awaiting running staging URL + test accounts</t>
        </is>
      </c>
    </row>
    <row r="125" ht="43.25" customHeight="1" s="29">
      <c r="A125" s="36" t="inlineStr">
        <is>
          <t>MX-INPUT-0123</t>
        </is>
      </c>
      <c r="B125" s="54" t="inlineStr">
        <is>
          <t>P1</t>
        </is>
      </c>
      <c r="C125" s="36" t="inlineStr">
        <is>
          <t>Backend/Validation</t>
        </is>
      </c>
      <c r="D125" s="36" t="inlineStr">
        <is>
          <t>invoice generation — Out-of-range value</t>
        </is>
      </c>
      <c r="E125" s="36" t="inlineStr">
        <is>
          <t>Confirms 'invoice generation' rejects the 'out-of-range value' case at the boundary with a structured error, instead of crashing, hanging, or processing bad data. Validation gaps here cause corrupt data, leaks, or fraud depending on the endpoint.</t>
        </is>
      </c>
      <c r="F125" s="36" t="inlineStr">
        <is>
          <t>Ability to send crafted requests (proxy/API client) with a valid and invalid session.</t>
        </is>
      </c>
      <c r="G125" s="36" t="inlineStr">
        <is>
          <t>1) Against 'invoice generation', send a negative/overflow/enum-violating value (e.g. negative amount, invalid grade). 2) Observe the response and any side effects.</t>
        </is>
      </c>
      <c r="H125" s="36" t="inlineStr">
        <is>
          <t>Returns a structured validation/authorisation error; no crash, no partial write, no data leak.</t>
        </is>
      </c>
      <c r="I125" s="36" t="inlineStr">
        <is>
          <t>Request/response capture</t>
        </is>
      </c>
      <c r="J125" s="41" t="inlineStr">
        <is>
          <t>NOT RUN</t>
        </is>
      </c>
      <c r="K125" s="36" t="inlineStr">
        <is>
          <t>Claude (pending env)</t>
        </is>
      </c>
      <c r="L125" s="36" t="n"/>
      <c r="M125" s="36" t="n"/>
      <c r="N125" s="36" t="inlineStr">
        <is>
          <t>[T4 | Phase 4 | Claude (pending env)] Playwright/authenticated-API against running env. awaiting running staging URL + test accounts</t>
        </is>
      </c>
    </row>
    <row r="126" ht="43.25" customHeight="1" s="29">
      <c r="A126" s="37" t="inlineStr">
        <is>
          <t>MX-INPUT-0124</t>
        </is>
      </c>
      <c r="B126" s="54" t="inlineStr">
        <is>
          <t>P1</t>
        </is>
      </c>
      <c r="C126" s="37" t="inlineStr">
        <is>
          <t>Backend/Validation</t>
        </is>
      </c>
      <c r="D126" s="37" t="inlineStr">
        <is>
          <t>invoice generation — Oversized payload</t>
        </is>
      </c>
      <c r="E126" s="37" t="inlineStr">
        <is>
          <t>Confirms 'invoice generation' rejects the 'oversized payload' case at the boundary with a structured error, instead of crashing, hanging, or processing bad data. Validation gaps here cause corrupt data, leaks, or fraud depending on the endpoint.</t>
        </is>
      </c>
      <c r="F126" s="37" t="inlineStr">
        <is>
          <t>Ability to send crafted requests (proxy/API client) with a valid and invalid session.</t>
        </is>
      </c>
      <c r="G126" s="37" t="inlineStr">
        <is>
          <t>1) Against 'invoice generation', send an oversized/deeply-nested payload. 2) Observe the response and any side effects.</t>
        </is>
      </c>
      <c r="H126" s="37" t="inlineStr">
        <is>
          <t>Returns a structured validation/authorisation error; no crash, no partial write, no data leak.</t>
        </is>
      </c>
      <c r="I126" s="37" t="inlineStr">
        <is>
          <t>Request/response capture</t>
        </is>
      </c>
      <c r="J126" s="43" t="inlineStr">
        <is>
          <t>NOT RUN</t>
        </is>
      </c>
      <c r="K126" s="37" t="inlineStr">
        <is>
          <t>Claude (pending env)</t>
        </is>
      </c>
      <c r="L126" s="37" t="n"/>
      <c r="M126" s="37" t="n"/>
      <c r="N126" s="37" t="inlineStr">
        <is>
          <t>[T4 | Phase 4 | Claude (pending env)] Playwright/authenticated-API against running env. awaiting running staging URL + test accounts</t>
        </is>
      </c>
    </row>
    <row r="127" ht="43.25" customHeight="1" s="29">
      <c r="A127" s="36" t="inlineStr">
        <is>
          <t>MX-INPUT-0125</t>
        </is>
      </c>
      <c r="B127" s="54" t="inlineStr">
        <is>
          <t>P1</t>
        </is>
      </c>
      <c r="C127" s="36" t="inlineStr">
        <is>
          <t>Backend/Validation</t>
        </is>
      </c>
      <c r="D127" s="36" t="inlineStr">
        <is>
          <t>invoice generation — Injection attempt</t>
        </is>
      </c>
      <c r="E127" s="36" t="inlineStr">
        <is>
          <t>Confirms 'invoice generation' rejects the 'injection attempt' case at the boundary with a structured error, instead of crashing, hanging, or processing bad data. Validation gaps here cause corrupt data, leaks, or fraud depending on the endpoint.</t>
        </is>
      </c>
      <c r="F127" s="36" t="inlineStr">
        <is>
          <t>Ability to send crafted requests (proxy/API client) with a valid and invalid session.</t>
        </is>
      </c>
      <c r="G127" s="36" t="inlineStr">
        <is>
          <t>1) Against 'invoice generation', send SQL/script metacharacters in string fields. 2) Observe the response and any side effects.</t>
        </is>
      </c>
      <c r="H127" s="36" t="inlineStr">
        <is>
          <t>Returns a structured validation/authorisation error; no crash, no partial write, no data leak.</t>
        </is>
      </c>
      <c r="I127" s="36" t="inlineStr">
        <is>
          <t>Request/response capture</t>
        </is>
      </c>
      <c r="J127" s="41" t="inlineStr">
        <is>
          <t>NOT RUN</t>
        </is>
      </c>
      <c r="K127" s="36" t="inlineStr">
        <is>
          <t>Claude (pending env)</t>
        </is>
      </c>
      <c r="L127" s="36" t="n"/>
      <c r="M127" s="36" t="n"/>
      <c r="N127" s="36" t="inlineStr">
        <is>
          <t>[T4 | Phase 4 | Claude (pending env)] Playwright/authenticated-API against running env. awaiting running staging URL + test accounts</t>
        </is>
      </c>
    </row>
    <row r="128" ht="43.25" customHeight="1" s="29">
      <c r="A128" s="37" t="inlineStr">
        <is>
          <t>MX-INPUT-0126</t>
        </is>
      </c>
      <c r="B128" s="54" t="inlineStr">
        <is>
          <t>P1</t>
        </is>
      </c>
      <c r="C128" s="37" t="inlineStr">
        <is>
          <t>Backend/Validation</t>
        </is>
      </c>
      <c r="D128" s="37" t="inlineStr">
        <is>
          <t>invoice generation — Unauthorised caller</t>
        </is>
      </c>
      <c r="E128" s="37" t="inlineStr">
        <is>
          <t>Confirms 'invoice generation' rejects the 'unauthorised caller' case at the boundary with a structured error, instead of crashing, hanging, or processing bad data. Validation gaps here cause corrupt data, leaks, or fraud depending on the endpoint.</t>
        </is>
      </c>
      <c r="F128" s="37" t="inlineStr">
        <is>
          <t>Ability to send crafted requests (proxy/API client) with a valid and invalid session.</t>
        </is>
      </c>
      <c r="G128" s="37" t="inlineStr">
        <is>
          <t>1) Against 'invoice generation', call without a valid session / as the wrong role. 2) Observe the response and any side effects.</t>
        </is>
      </c>
      <c r="H128" s="37" t="inlineStr">
        <is>
          <t>Returns a structured validation/authorisation error; no crash, no partial write, no data leak.</t>
        </is>
      </c>
      <c r="I128" s="37" t="inlineStr">
        <is>
          <t>Request/response capture</t>
        </is>
      </c>
      <c r="J128" s="43" t="inlineStr">
        <is>
          <t>NOT RUN</t>
        </is>
      </c>
      <c r="K128" s="37" t="inlineStr">
        <is>
          <t>Claude (pending env)</t>
        </is>
      </c>
      <c r="L128" s="37" t="n"/>
      <c r="M128" s="37" t="n"/>
      <c r="N128" s="37" t="inlineStr">
        <is>
          <t>[T4 | Phase 4 | Claude (pending env)] Playwright/authenticated-API against running env. awaiting running staging URL + test accounts</t>
        </is>
      </c>
    </row>
    <row r="129" ht="43.25" customHeight="1" s="29">
      <c r="A129" s="36" t="inlineStr">
        <is>
          <t>MX-INPUT-0127</t>
        </is>
      </c>
      <c r="B129" s="54" t="inlineStr">
        <is>
          <t>P1</t>
        </is>
      </c>
      <c r="C129" s="36" t="inlineStr">
        <is>
          <t>Backend/Validation</t>
        </is>
      </c>
      <c r="D129" s="36" t="inlineStr">
        <is>
          <t>teacher remediation assign — Malformed UUID</t>
        </is>
      </c>
      <c r="E129" s="36" t="inlineStr">
        <is>
          <t>Confirms 'teacher remediation assign' rejects the 'malformed uuid' case at the boundary with a structured error, instead of crashing, hanging, or processing bad data. Validation gaps here cause corrupt data, leaks, or fraud depending on the endpoint.</t>
        </is>
      </c>
      <c r="F129" s="36" t="inlineStr">
        <is>
          <t>Ability to send crafted requests (proxy/API client) with a valid and invalid session.</t>
        </is>
      </c>
      <c r="G129" s="36" t="inlineStr">
        <is>
          <t>1) Against 'teacher remediation assign', send a non-UUID where a UUID is required. 2) Observe the response and any side effects.</t>
        </is>
      </c>
      <c r="H129" s="36" t="inlineStr">
        <is>
          <t>Returns a structured validation/authorisation error; no crash, no partial write, no data leak.</t>
        </is>
      </c>
      <c r="I129" s="36" t="inlineStr">
        <is>
          <t>Request/response capture</t>
        </is>
      </c>
      <c r="J129" s="41" t="inlineStr">
        <is>
          <t>NOT RUN</t>
        </is>
      </c>
      <c r="K129" s="36" t="inlineStr">
        <is>
          <t>Claude (pending env)</t>
        </is>
      </c>
      <c r="L129" s="36" t="n"/>
      <c r="M129" s="36" t="n"/>
      <c r="N129" s="36" t="inlineStr">
        <is>
          <t>[T4 | Phase 4 | Claude (pending env)] Playwright/authenticated-API against running env. awaiting running staging URL + test accounts</t>
        </is>
      </c>
    </row>
    <row r="130" ht="53.7" customHeight="1" s="29">
      <c r="A130" s="37" t="inlineStr">
        <is>
          <t>MX-INPUT-0128</t>
        </is>
      </c>
      <c r="B130" s="54" t="inlineStr">
        <is>
          <t>P1</t>
        </is>
      </c>
      <c r="C130" s="37" t="inlineStr">
        <is>
          <t>Backend/Validation</t>
        </is>
      </c>
      <c r="D130" s="37" t="inlineStr">
        <is>
          <t>teacher remediation assign — Missing required field</t>
        </is>
      </c>
      <c r="E130" s="37" t="inlineStr">
        <is>
          <t>Confirms 'teacher remediation assign' rejects the 'missing required field' case at the boundary with a structured error, instead of crashing, hanging, or processing bad data. Validation gaps here cause corrupt data, leaks, or fraud depending on the endpoint.</t>
        </is>
      </c>
      <c r="F130" s="37" t="inlineStr">
        <is>
          <t>Ability to send crafted requests (proxy/API client) with a valid and invalid session.</t>
        </is>
      </c>
      <c r="G130" s="37" t="inlineStr">
        <is>
          <t>1) Against 'teacher remediation assign', omit a required field. 2) Observe the response and any side effects.</t>
        </is>
      </c>
      <c r="H130" s="37" t="inlineStr">
        <is>
          <t>Returns a structured validation/authorisation error; no crash, no partial write, no data leak.</t>
        </is>
      </c>
      <c r="I130" s="37" t="inlineStr">
        <is>
          <t>Request/response capture</t>
        </is>
      </c>
      <c r="J130" s="43" t="inlineStr">
        <is>
          <t>NOT RUN</t>
        </is>
      </c>
      <c r="K130" s="37" t="inlineStr">
        <is>
          <t>Claude (pending env)</t>
        </is>
      </c>
      <c r="L130" s="37" t="n"/>
      <c r="M130" s="37" t="n"/>
      <c r="N130" s="37" t="inlineStr">
        <is>
          <t>[T4 | Phase 4 | Claude (pending env)] Playwright/authenticated-API against running env. awaiting running staging URL + test accounts</t>
        </is>
      </c>
    </row>
    <row r="131" ht="43.25" customHeight="1" s="29">
      <c r="A131" s="36" t="inlineStr">
        <is>
          <t>MX-INPUT-0129</t>
        </is>
      </c>
      <c r="B131" s="54" t="inlineStr">
        <is>
          <t>P1</t>
        </is>
      </c>
      <c r="C131" s="36" t="inlineStr">
        <is>
          <t>Backend/Validation</t>
        </is>
      </c>
      <c r="D131" s="36" t="inlineStr">
        <is>
          <t>teacher remediation assign — Wrong type</t>
        </is>
      </c>
      <c r="E131" s="36" t="inlineStr">
        <is>
          <t>Confirms 'teacher remediation assign' rejects the 'wrong type' case at the boundary with a structured error, instead of crashing, hanging, or processing bad data. Validation gaps here cause corrupt data, leaks, or fraud depending on the endpoint.</t>
        </is>
      </c>
      <c r="F131" s="36" t="inlineStr">
        <is>
          <t>Ability to send crafted requests (proxy/API client) with a valid and invalid session.</t>
        </is>
      </c>
      <c r="G131" s="36" t="inlineStr">
        <is>
          <t>1) Against 'teacher remediation assign', send a string where a number/enum is expected. 2) Observe the response and any side effects.</t>
        </is>
      </c>
      <c r="H131" s="36" t="inlineStr">
        <is>
          <t>Returns a structured validation/authorisation error; no crash, no partial write, no data leak.</t>
        </is>
      </c>
      <c r="I131" s="36" t="inlineStr">
        <is>
          <t>Request/response capture</t>
        </is>
      </c>
      <c r="J131" s="41" t="inlineStr">
        <is>
          <t>NOT RUN</t>
        </is>
      </c>
      <c r="K131" s="36" t="inlineStr">
        <is>
          <t>Claude (pending env)</t>
        </is>
      </c>
      <c r="L131" s="36" t="n"/>
      <c r="M131" s="36" t="n"/>
      <c r="N131" s="36" t="inlineStr">
        <is>
          <t>[T4 | Phase 4 | Claude (pending env)] Playwright/authenticated-API against running env. awaiting running staging URL + test accounts</t>
        </is>
      </c>
    </row>
    <row r="132" ht="43.25" customHeight="1" s="29">
      <c r="A132" s="37" t="inlineStr">
        <is>
          <t>MX-INPUT-0130</t>
        </is>
      </c>
      <c r="B132" s="54" t="inlineStr">
        <is>
          <t>P1</t>
        </is>
      </c>
      <c r="C132" s="37" t="inlineStr">
        <is>
          <t>Backend/Validation</t>
        </is>
      </c>
      <c r="D132" s="37" t="inlineStr">
        <is>
          <t>teacher remediation assign — Out-of-range value</t>
        </is>
      </c>
      <c r="E132" s="37" t="inlineStr">
        <is>
          <t>Confirms 'teacher remediation assign' rejects the 'out-of-range value' case at the boundary with a structured error, instead of crashing, hanging, or processing bad data. Validation gaps here cause corrupt data, leaks, or fraud depending on the endpoint.</t>
        </is>
      </c>
      <c r="F132" s="37" t="inlineStr">
        <is>
          <t>Ability to send crafted requests (proxy/API client) with a valid and invalid session.</t>
        </is>
      </c>
      <c r="G132" s="37" t="inlineStr">
        <is>
          <t>1) Against 'teacher remediation assign', send a negative/overflow/enum-violating value (e.g. negative amount, invalid grade). 2) Observe the response and any side effects.</t>
        </is>
      </c>
      <c r="H132" s="37" t="inlineStr">
        <is>
          <t>Returns a structured validation/authorisation error; no crash, no partial write, no data leak.</t>
        </is>
      </c>
      <c r="I132" s="37" t="inlineStr">
        <is>
          <t>Request/response capture</t>
        </is>
      </c>
      <c r="J132" s="43" t="inlineStr">
        <is>
          <t>NOT RUN</t>
        </is>
      </c>
      <c r="K132" s="37" t="inlineStr">
        <is>
          <t>Claude (pending env)</t>
        </is>
      </c>
      <c r="L132" s="37" t="n"/>
      <c r="M132" s="37" t="n"/>
      <c r="N132" s="37" t="inlineStr">
        <is>
          <t>[T4 | Phase 4 | Claude (pending env)] Playwright/authenticated-API against running env. awaiting running staging URL + test accounts</t>
        </is>
      </c>
    </row>
    <row r="133" ht="43.25" customHeight="1" s="29">
      <c r="A133" s="36" t="inlineStr">
        <is>
          <t>MX-INPUT-0131</t>
        </is>
      </c>
      <c r="B133" s="54" t="inlineStr">
        <is>
          <t>P1</t>
        </is>
      </c>
      <c r="C133" s="36" t="inlineStr">
        <is>
          <t>Backend/Validation</t>
        </is>
      </c>
      <c r="D133" s="36" t="inlineStr">
        <is>
          <t>teacher remediation assign — Oversized payload</t>
        </is>
      </c>
      <c r="E133" s="36" t="inlineStr">
        <is>
          <t>Confirms 'teacher remediation assign' rejects the 'oversized payload' case at the boundary with a structured error, instead of crashing, hanging, or processing bad data. Validation gaps here cause corrupt data, leaks, or fraud depending on the endpoint.</t>
        </is>
      </c>
      <c r="F133" s="36" t="inlineStr">
        <is>
          <t>Ability to send crafted requests (proxy/API client) with a valid and invalid session.</t>
        </is>
      </c>
      <c r="G133" s="36" t="inlineStr">
        <is>
          <t>1) Against 'teacher remediation assign', send an oversized/deeply-nested payload. 2) Observe the response and any side effects.</t>
        </is>
      </c>
      <c r="H133" s="36" t="inlineStr">
        <is>
          <t>Returns a structured validation/authorisation error; no crash, no partial write, no data leak.</t>
        </is>
      </c>
      <c r="I133" s="36" t="inlineStr">
        <is>
          <t>Request/response capture</t>
        </is>
      </c>
      <c r="J133" s="41" t="inlineStr">
        <is>
          <t>NOT RUN</t>
        </is>
      </c>
      <c r="K133" s="36" t="inlineStr">
        <is>
          <t>Claude (pending env)</t>
        </is>
      </c>
      <c r="L133" s="36" t="n"/>
      <c r="M133" s="36" t="n"/>
      <c r="N133" s="36" t="inlineStr">
        <is>
          <t>[T4 | Phase 4 | Claude (pending env)] Playwright/authenticated-API against running env. awaiting running staging URL + test accounts</t>
        </is>
      </c>
    </row>
    <row r="134" ht="43.25" customHeight="1" s="29">
      <c r="A134" s="37" t="inlineStr">
        <is>
          <t>MX-INPUT-0132</t>
        </is>
      </c>
      <c r="B134" s="54" t="inlineStr">
        <is>
          <t>P1</t>
        </is>
      </c>
      <c r="C134" s="37" t="inlineStr">
        <is>
          <t>Backend/Validation</t>
        </is>
      </c>
      <c r="D134" s="37" t="inlineStr">
        <is>
          <t>teacher remediation assign — Injection attempt</t>
        </is>
      </c>
      <c r="E134" s="37" t="inlineStr">
        <is>
          <t>Confirms 'teacher remediation assign' rejects the 'injection attempt' case at the boundary with a structured error, instead of crashing, hanging, or processing bad data. Validation gaps here cause corrupt data, leaks, or fraud depending on the endpoint.</t>
        </is>
      </c>
      <c r="F134" s="37" t="inlineStr">
        <is>
          <t>Ability to send crafted requests (proxy/API client) with a valid and invalid session.</t>
        </is>
      </c>
      <c r="G134" s="37" t="inlineStr">
        <is>
          <t>1) Against 'teacher remediation assign', send SQL/script metacharacters in string fields. 2) Observe the response and any side effects.</t>
        </is>
      </c>
      <c r="H134" s="37" t="inlineStr">
        <is>
          <t>Returns a structured validation/authorisation error; no crash, no partial write, no data leak.</t>
        </is>
      </c>
      <c r="I134" s="37" t="inlineStr">
        <is>
          <t>Request/response capture</t>
        </is>
      </c>
      <c r="J134" s="43" t="inlineStr">
        <is>
          <t>NOT RUN</t>
        </is>
      </c>
      <c r="K134" s="37" t="inlineStr">
        <is>
          <t>Claude (pending env)</t>
        </is>
      </c>
      <c r="L134" s="37" t="n"/>
      <c r="M134" s="37" t="n"/>
      <c r="N134" s="37" t="inlineStr">
        <is>
          <t>[T4 | Phase 4 | Claude (pending env)] Playwright/authenticated-API against running env. awaiting running staging URL + test accounts</t>
        </is>
      </c>
    </row>
    <row r="135" ht="43.25" customHeight="1" s="29">
      <c r="A135" s="36" t="inlineStr">
        <is>
          <t>MX-INPUT-0133</t>
        </is>
      </c>
      <c r="B135" s="54" t="inlineStr">
        <is>
          <t>P1</t>
        </is>
      </c>
      <c r="C135" s="36" t="inlineStr">
        <is>
          <t>Backend/Validation</t>
        </is>
      </c>
      <c r="D135" s="36" t="inlineStr">
        <is>
          <t>teacher remediation assign — Unauthorised caller</t>
        </is>
      </c>
      <c r="E135" s="36" t="inlineStr">
        <is>
          <t>Confirms 'teacher remediation assign' rejects the 'unauthorised caller' case at the boundary with a structured error, instead of crashing, hanging, or processing bad data. Validation gaps here cause corrupt data, leaks, or fraud depending on the endpoint.</t>
        </is>
      </c>
      <c r="F135" s="36" t="inlineStr">
        <is>
          <t>Ability to send crafted requests (proxy/API client) with a valid and invalid session.</t>
        </is>
      </c>
      <c r="G135" s="36" t="inlineStr">
        <is>
          <t>1) Against 'teacher remediation assign', call without a valid session / as the wrong role. 2) Observe the response and any side effects.</t>
        </is>
      </c>
      <c r="H135" s="36" t="inlineStr">
        <is>
          <t>Returns a structured validation/authorisation error; no crash, no partial write, no data leak.</t>
        </is>
      </c>
      <c r="I135" s="36" t="inlineStr">
        <is>
          <t>Request/response capture</t>
        </is>
      </c>
      <c r="J135" s="41" t="inlineStr">
        <is>
          <t>NOT RUN</t>
        </is>
      </c>
      <c r="K135" s="36" t="inlineStr">
        <is>
          <t>Claude (pending env)</t>
        </is>
      </c>
      <c r="L135" s="36" t="n"/>
      <c r="M135" s="36" t="n"/>
      <c r="N135" s="36" t="inlineStr">
        <is>
          <t>[T4 | Phase 4 | Claude (pending env)] Playwright/authenticated-API against running env. awaiting running staging URL + test accounts</t>
        </is>
      </c>
    </row>
    <row r="136" ht="43.25" customHeight="1" s="29">
      <c r="A136" s="37" t="inlineStr">
        <is>
          <t>MX-INPUT-0134</t>
        </is>
      </c>
      <c r="B136" s="54" t="inlineStr">
        <is>
          <t>P1</t>
        </is>
      </c>
      <c r="C136" s="37" t="inlineStr">
        <is>
          <t>Backend/Validation</t>
        </is>
      </c>
      <c r="D136" s="37" t="inlineStr">
        <is>
          <t>teacher roster fetch — Malformed UUID</t>
        </is>
      </c>
      <c r="E136" s="37" t="inlineStr">
        <is>
          <t>Confirms 'teacher roster fetch' rejects the 'malformed uuid' case at the boundary with a structured error, instead of crashing, hanging, or processing bad data. Validation gaps here cause corrupt data, leaks, or fraud depending on the endpoint.</t>
        </is>
      </c>
      <c r="F136" s="37" t="inlineStr">
        <is>
          <t>Ability to send crafted requests (proxy/API client) with a valid and invalid session.</t>
        </is>
      </c>
      <c r="G136" s="37" t="inlineStr">
        <is>
          <t>1) Against 'teacher roster fetch', send a non-UUID where a UUID is required. 2) Observe the response and any side effects.</t>
        </is>
      </c>
      <c r="H136" s="37" t="inlineStr">
        <is>
          <t>Returns a structured validation/authorisation error; no crash, no partial write, no data leak.</t>
        </is>
      </c>
      <c r="I136" s="37" t="inlineStr">
        <is>
          <t>Request/response capture</t>
        </is>
      </c>
      <c r="J136" s="43" t="inlineStr">
        <is>
          <t>NOT RUN</t>
        </is>
      </c>
      <c r="K136" s="37" t="inlineStr">
        <is>
          <t>Claude (pending env)</t>
        </is>
      </c>
      <c r="L136" s="37" t="n"/>
      <c r="M136" s="37" t="n"/>
      <c r="N136" s="37" t="inlineStr">
        <is>
          <t>[T4 | Phase 4 | Claude (pending env)] Playwright/authenticated-API against running env. awaiting running staging URL + test accounts</t>
        </is>
      </c>
    </row>
    <row r="137" ht="43.25" customHeight="1" s="29">
      <c r="A137" s="36" t="inlineStr">
        <is>
          <t>MX-INPUT-0135</t>
        </is>
      </c>
      <c r="B137" s="54" t="inlineStr">
        <is>
          <t>P1</t>
        </is>
      </c>
      <c r="C137" s="36" t="inlineStr">
        <is>
          <t>Backend/Validation</t>
        </is>
      </c>
      <c r="D137" s="36" t="inlineStr">
        <is>
          <t>teacher roster fetch — Missing required field</t>
        </is>
      </c>
      <c r="E137" s="36" t="inlineStr">
        <is>
          <t>Confirms 'teacher roster fetch' rejects the 'missing required field' case at the boundary with a structured error, instead of crashing, hanging, or processing bad data. Validation gaps here cause corrupt data, leaks, or fraud depending on the endpoint.</t>
        </is>
      </c>
      <c r="F137" s="36" t="inlineStr">
        <is>
          <t>Ability to send crafted requests (proxy/API client) with a valid and invalid session.</t>
        </is>
      </c>
      <c r="G137" s="36" t="inlineStr">
        <is>
          <t>1) Against 'teacher roster fetch', omit a required field. 2) Observe the response and any side effects.</t>
        </is>
      </c>
      <c r="H137" s="36" t="inlineStr">
        <is>
          <t>Returns a structured validation/authorisation error; no crash, no partial write, no data leak.</t>
        </is>
      </c>
      <c r="I137" s="36" t="inlineStr">
        <is>
          <t>Request/response capture</t>
        </is>
      </c>
      <c r="J137" s="41" t="inlineStr">
        <is>
          <t>NOT RUN</t>
        </is>
      </c>
      <c r="K137" s="36" t="inlineStr">
        <is>
          <t>Claude (pending env)</t>
        </is>
      </c>
      <c r="L137" s="36" t="n"/>
      <c r="M137" s="36" t="n"/>
      <c r="N137" s="36" t="inlineStr">
        <is>
          <t>[T4 | Phase 4 | Claude (pending env)] Playwright/authenticated-API against running env. awaiting running staging URL + test accounts</t>
        </is>
      </c>
    </row>
    <row r="138" ht="43.25" customHeight="1" s="29">
      <c r="A138" s="37" t="inlineStr">
        <is>
          <t>MX-INPUT-0136</t>
        </is>
      </c>
      <c r="B138" s="54" t="inlineStr">
        <is>
          <t>P1</t>
        </is>
      </c>
      <c r="C138" s="37" t="inlineStr">
        <is>
          <t>Backend/Validation</t>
        </is>
      </c>
      <c r="D138" s="37" t="inlineStr">
        <is>
          <t>teacher roster fetch — Wrong type</t>
        </is>
      </c>
      <c r="E138" s="37" t="inlineStr">
        <is>
          <t>Confirms 'teacher roster fetch' rejects the 'wrong type' case at the boundary with a structured error, instead of crashing, hanging, or processing bad data. Validation gaps here cause corrupt data, leaks, or fraud depending on the endpoint.</t>
        </is>
      </c>
      <c r="F138" s="37" t="inlineStr">
        <is>
          <t>Ability to send crafted requests (proxy/API client) with a valid and invalid session.</t>
        </is>
      </c>
      <c r="G138" s="37" t="inlineStr">
        <is>
          <t>1) Against 'teacher roster fetch', send a string where a number/enum is expected. 2) Observe the response and any side effects.</t>
        </is>
      </c>
      <c r="H138" s="37" t="inlineStr">
        <is>
          <t>Returns a structured validation/authorisation error; no crash, no partial write, no data leak.</t>
        </is>
      </c>
      <c r="I138" s="37" t="inlineStr">
        <is>
          <t>Request/response capture</t>
        </is>
      </c>
      <c r="J138" s="43" t="inlineStr">
        <is>
          <t>NOT RUN</t>
        </is>
      </c>
      <c r="K138" s="37" t="inlineStr">
        <is>
          <t>Claude (pending env)</t>
        </is>
      </c>
      <c r="L138" s="37" t="n"/>
      <c r="M138" s="37" t="n"/>
      <c r="N138" s="37" t="inlineStr">
        <is>
          <t>[T4 | Phase 4 | Claude (pending env)] Playwright/authenticated-API against running env. awaiting running staging URL + test accounts</t>
        </is>
      </c>
    </row>
    <row r="139" ht="43.25" customHeight="1" s="29">
      <c r="A139" s="36" t="inlineStr">
        <is>
          <t>MX-INPUT-0137</t>
        </is>
      </c>
      <c r="B139" s="54" t="inlineStr">
        <is>
          <t>P1</t>
        </is>
      </c>
      <c r="C139" s="36" t="inlineStr">
        <is>
          <t>Backend/Validation</t>
        </is>
      </c>
      <c r="D139" s="36" t="inlineStr">
        <is>
          <t>teacher roster fetch — Out-of-range value</t>
        </is>
      </c>
      <c r="E139" s="36" t="inlineStr">
        <is>
          <t>Confirms 'teacher roster fetch' rejects the 'out-of-range value' case at the boundary with a structured error, instead of crashing, hanging, or processing bad data. Validation gaps here cause corrupt data, leaks, or fraud depending on the endpoint.</t>
        </is>
      </c>
      <c r="F139" s="36" t="inlineStr">
        <is>
          <t>Ability to send crafted requests (proxy/API client) with a valid and invalid session.</t>
        </is>
      </c>
      <c r="G139" s="36" t="inlineStr">
        <is>
          <t>1) Against 'teacher roster fetch', send a negative/overflow/enum-violating value (e.g. negative amount, invalid grade). 2) Observe the response and any side effects.</t>
        </is>
      </c>
      <c r="H139" s="36" t="inlineStr">
        <is>
          <t>Returns a structured validation/authorisation error; no crash, no partial write, no data leak.</t>
        </is>
      </c>
      <c r="I139" s="36" t="inlineStr">
        <is>
          <t>Request/response capture</t>
        </is>
      </c>
      <c r="J139" s="41" t="inlineStr">
        <is>
          <t>NOT RUN</t>
        </is>
      </c>
      <c r="K139" s="36" t="inlineStr">
        <is>
          <t>Claude (pending env)</t>
        </is>
      </c>
      <c r="L139" s="36" t="n"/>
      <c r="M139" s="36" t="n"/>
      <c r="N139" s="36" t="inlineStr">
        <is>
          <t>[T4 | Phase 4 | Claude (pending env)] Playwright/authenticated-API against running env. awaiting running staging URL + test accounts</t>
        </is>
      </c>
    </row>
    <row r="140" ht="43.25" customHeight="1" s="29">
      <c r="A140" s="37" t="inlineStr">
        <is>
          <t>MX-INPUT-0138</t>
        </is>
      </c>
      <c r="B140" s="54" t="inlineStr">
        <is>
          <t>P1</t>
        </is>
      </c>
      <c r="C140" s="37" t="inlineStr">
        <is>
          <t>Backend/Validation</t>
        </is>
      </c>
      <c r="D140" s="37" t="inlineStr">
        <is>
          <t>teacher roster fetch — Oversized payload</t>
        </is>
      </c>
      <c r="E140" s="37" t="inlineStr">
        <is>
          <t>Confirms 'teacher roster fetch' rejects the 'oversized payload' case at the boundary with a structured error, instead of crashing, hanging, or processing bad data. Validation gaps here cause corrupt data, leaks, or fraud depending on the endpoint.</t>
        </is>
      </c>
      <c r="F140" s="37" t="inlineStr">
        <is>
          <t>Ability to send crafted requests (proxy/API client) with a valid and invalid session.</t>
        </is>
      </c>
      <c r="G140" s="37" t="inlineStr">
        <is>
          <t>1) Against 'teacher roster fetch', send an oversized/deeply-nested payload. 2) Observe the response and any side effects.</t>
        </is>
      </c>
      <c r="H140" s="37" t="inlineStr">
        <is>
          <t>Returns a structured validation/authorisation error; no crash, no partial write, no data leak.</t>
        </is>
      </c>
      <c r="I140" s="37" t="inlineStr">
        <is>
          <t>Request/response capture</t>
        </is>
      </c>
      <c r="J140" s="43" t="inlineStr">
        <is>
          <t>NOT RUN</t>
        </is>
      </c>
      <c r="K140" s="37" t="inlineStr">
        <is>
          <t>Claude (pending env)</t>
        </is>
      </c>
      <c r="L140" s="37" t="n"/>
      <c r="M140" s="37" t="n"/>
      <c r="N140" s="37" t="inlineStr">
        <is>
          <t>[T4 | Phase 4 | Claude (pending env)] Playwright/authenticated-API against running env. awaiting running staging URL + test accounts</t>
        </is>
      </c>
    </row>
    <row r="141" ht="43.25" customHeight="1" s="29">
      <c r="A141" s="36" t="inlineStr">
        <is>
          <t>MX-INPUT-0139</t>
        </is>
      </c>
      <c r="B141" s="54" t="inlineStr">
        <is>
          <t>P1</t>
        </is>
      </c>
      <c r="C141" s="36" t="inlineStr">
        <is>
          <t>Backend/Validation</t>
        </is>
      </c>
      <c r="D141" s="36" t="inlineStr">
        <is>
          <t>teacher roster fetch — Injection attempt</t>
        </is>
      </c>
      <c r="E141" s="36" t="inlineStr">
        <is>
          <t>Confirms 'teacher roster fetch' rejects the 'injection attempt' case at the boundary with a structured error, instead of crashing, hanging, or processing bad data. Validation gaps here cause corrupt data, leaks, or fraud depending on the endpoint.</t>
        </is>
      </c>
      <c r="F141" s="36" t="inlineStr">
        <is>
          <t>Ability to send crafted requests (proxy/API client) with a valid and invalid session.</t>
        </is>
      </c>
      <c r="G141" s="36" t="inlineStr">
        <is>
          <t>1) Against 'teacher roster fetch', send SQL/script metacharacters in string fields. 2) Observe the response and any side effects.</t>
        </is>
      </c>
      <c r="H141" s="36" t="inlineStr">
        <is>
          <t>Returns a structured validation/authorisation error; no crash, no partial write, no data leak.</t>
        </is>
      </c>
      <c r="I141" s="36" t="inlineStr">
        <is>
          <t>Request/response capture</t>
        </is>
      </c>
      <c r="J141" s="41" t="inlineStr">
        <is>
          <t>NOT RUN</t>
        </is>
      </c>
      <c r="K141" s="36" t="inlineStr">
        <is>
          <t>Claude (pending env)</t>
        </is>
      </c>
      <c r="L141" s="36" t="n"/>
      <c r="M141" s="36" t="n"/>
      <c r="N141" s="36" t="inlineStr">
        <is>
          <t>[T4 | Phase 4 | Claude (pending env)] Playwright/authenticated-API against running env. awaiting running staging URL + test accounts</t>
        </is>
      </c>
    </row>
    <row r="142" ht="43.25" customHeight="1" s="29">
      <c r="A142" s="37" t="inlineStr">
        <is>
          <t>MX-INPUT-0140</t>
        </is>
      </c>
      <c r="B142" s="54" t="inlineStr">
        <is>
          <t>P1</t>
        </is>
      </c>
      <c r="C142" s="37" t="inlineStr">
        <is>
          <t>Backend/Validation</t>
        </is>
      </c>
      <c r="D142" s="37" t="inlineStr">
        <is>
          <t>teacher roster fetch — Unauthorised caller</t>
        </is>
      </c>
      <c r="E142" s="37" t="inlineStr">
        <is>
          <t>Confirms 'teacher roster fetch' rejects the 'unauthorised caller' case at the boundary with a structured error, instead of crashing, hanging, or processing bad data. Validation gaps here cause corrupt data, leaks, or fraud depending on the endpoint.</t>
        </is>
      </c>
      <c r="F142" s="37" t="inlineStr">
        <is>
          <t>Ability to send crafted requests (proxy/API client) with a valid and invalid session.</t>
        </is>
      </c>
      <c r="G142" s="37" t="inlineStr">
        <is>
          <t>1) Against 'teacher roster fetch', call without a valid session / as the wrong role. 2) Observe the response and any side effects.</t>
        </is>
      </c>
      <c r="H142" s="37" t="inlineStr">
        <is>
          <t>Returns a structured validation/authorisation error; no crash, no partial write, no data leak.</t>
        </is>
      </c>
      <c r="I142" s="37" t="inlineStr">
        <is>
          <t>Request/response capture</t>
        </is>
      </c>
      <c r="J142" s="43" t="inlineStr">
        <is>
          <t>NOT RUN</t>
        </is>
      </c>
      <c r="K142" s="37" t="inlineStr">
        <is>
          <t>Claude (pending env)</t>
        </is>
      </c>
      <c r="L142" s="37" t="n"/>
      <c r="M142" s="37" t="n"/>
      <c r="N142" s="37" t="inlineStr">
        <is>
          <t>[T4 | Phase 4 | Claude (pending env)] Playwright/authenticated-API against running env. awaiting running staging URL + test accounts</t>
        </is>
      </c>
    </row>
    <row r="143" ht="43.25" customHeight="1" s="29">
      <c r="A143" s="36" t="inlineStr">
        <is>
          <t>MX-INPUT-0141</t>
        </is>
      </c>
      <c r="B143" s="54" t="inlineStr">
        <is>
          <t>P1</t>
        </is>
      </c>
      <c r="C143" s="36" t="inlineStr">
        <is>
          <t>Backend/Validation</t>
        </is>
      </c>
      <c r="D143" s="36" t="inlineStr">
        <is>
          <t>impersonation (view-as) — Malformed UUID</t>
        </is>
      </c>
      <c r="E143" s="36" t="inlineStr">
        <is>
          <t>Confirms 'impersonation (view-as)' rejects the 'malformed uuid' case at the boundary with a structured error, instead of crashing, hanging, or processing bad data. Validation gaps here cause corrupt data, leaks, or fraud depending on the endpoint.</t>
        </is>
      </c>
      <c r="F143" s="36" t="inlineStr">
        <is>
          <t>Ability to send crafted requests (proxy/API client) with a valid and invalid session.</t>
        </is>
      </c>
      <c r="G143" s="36" t="inlineStr">
        <is>
          <t>1) Against 'impersonation (view-as)', send a non-UUID where a UUID is required. 2) Observe the response and any side effects.</t>
        </is>
      </c>
      <c r="H143" s="36" t="inlineStr">
        <is>
          <t>Returns a structured validation/authorisation error; no crash, no partial write, no data leak.</t>
        </is>
      </c>
      <c r="I143" s="36" t="inlineStr">
        <is>
          <t>Request/response capture</t>
        </is>
      </c>
      <c r="J143" s="41" t="inlineStr">
        <is>
          <t>NOT RUN</t>
        </is>
      </c>
      <c r="K143" s="36" t="inlineStr">
        <is>
          <t>Claude (pending env)</t>
        </is>
      </c>
      <c r="L143" s="36" t="n"/>
      <c r="M143" s="36" t="n"/>
      <c r="N143" s="36" t="inlineStr">
        <is>
          <t>[T4 | Phase 4 | Claude (pending env)] Playwright/authenticated-API against running env. awaiting running staging URL + test accounts</t>
        </is>
      </c>
    </row>
    <row r="144" ht="43.25" customHeight="1" s="29">
      <c r="A144" s="37" t="inlineStr">
        <is>
          <t>MX-INPUT-0142</t>
        </is>
      </c>
      <c r="B144" s="54" t="inlineStr">
        <is>
          <t>P1</t>
        </is>
      </c>
      <c r="C144" s="37" t="inlineStr">
        <is>
          <t>Backend/Validation</t>
        </is>
      </c>
      <c r="D144" s="37" t="inlineStr">
        <is>
          <t>impersonation (view-as) — Missing required field</t>
        </is>
      </c>
      <c r="E144" s="37" t="inlineStr">
        <is>
          <t>Confirms 'impersonation (view-as)' rejects the 'missing required field' case at the boundary with a structured error, instead of crashing, hanging, or processing bad data. Validation gaps here cause corrupt data, leaks, or fraud depending on the endpoint.</t>
        </is>
      </c>
      <c r="F144" s="37" t="inlineStr">
        <is>
          <t>Ability to send crafted requests (proxy/API client) with a valid and invalid session.</t>
        </is>
      </c>
      <c r="G144" s="37" t="inlineStr">
        <is>
          <t>1) Against 'impersonation (view-as)', omit a required field. 2) Observe the response and any side effects.</t>
        </is>
      </c>
      <c r="H144" s="37" t="inlineStr">
        <is>
          <t>Returns a structured validation/authorisation error; no crash, no partial write, no data leak.</t>
        </is>
      </c>
      <c r="I144" s="37" t="inlineStr">
        <is>
          <t>Request/response capture</t>
        </is>
      </c>
      <c r="J144" s="43" t="inlineStr">
        <is>
          <t>NOT RUN</t>
        </is>
      </c>
      <c r="K144" s="37" t="inlineStr">
        <is>
          <t>Claude (pending env)</t>
        </is>
      </c>
      <c r="L144" s="37" t="n"/>
      <c r="M144" s="37" t="n"/>
      <c r="N144" s="37" t="inlineStr">
        <is>
          <t>[T4 | Phase 4 | Claude (pending env)] Playwright/authenticated-API against running env. awaiting running staging URL + test accounts</t>
        </is>
      </c>
    </row>
    <row r="145" ht="43.25" customHeight="1" s="29">
      <c r="A145" s="36" t="inlineStr">
        <is>
          <t>MX-INPUT-0143</t>
        </is>
      </c>
      <c r="B145" s="54" t="inlineStr">
        <is>
          <t>P1</t>
        </is>
      </c>
      <c r="C145" s="36" t="inlineStr">
        <is>
          <t>Backend/Validation</t>
        </is>
      </c>
      <c r="D145" s="36" t="inlineStr">
        <is>
          <t>impersonation (view-as) — Wrong type</t>
        </is>
      </c>
      <c r="E145" s="36" t="inlineStr">
        <is>
          <t>Confirms 'impersonation (view-as)' rejects the 'wrong type' case at the boundary with a structured error, instead of crashing, hanging, or processing bad data. Validation gaps here cause corrupt data, leaks, or fraud depending on the endpoint.</t>
        </is>
      </c>
      <c r="F145" s="36" t="inlineStr">
        <is>
          <t>Ability to send crafted requests (proxy/API client) with a valid and invalid session.</t>
        </is>
      </c>
      <c r="G145" s="36" t="inlineStr">
        <is>
          <t>1) Against 'impersonation (view-as)', send a string where a number/enum is expected. 2) Observe the response and any side effects.</t>
        </is>
      </c>
      <c r="H145" s="36" t="inlineStr">
        <is>
          <t>Returns a structured validation/authorisation error; no crash, no partial write, no data leak.</t>
        </is>
      </c>
      <c r="I145" s="36" t="inlineStr">
        <is>
          <t>Request/response capture</t>
        </is>
      </c>
      <c r="J145" s="41" t="inlineStr">
        <is>
          <t>NOT RUN</t>
        </is>
      </c>
      <c r="K145" s="36" t="inlineStr">
        <is>
          <t>Claude (pending env)</t>
        </is>
      </c>
      <c r="L145" s="36" t="n"/>
      <c r="M145" s="36" t="n"/>
      <c r="N145" s="36" t="inlineStr">
        <is>
          <t>[T4 | Phase 4 | Claude (pending env)] Playwright/authenticated-API against running env. awaiting running staging URL + test accounts</t>
        </is>
      </c>
    </row>
    <row r="146" ht="43.25" customHeight="1" s="29">
      <c r="A146" s="37" t="inlineStr">
        <is>
          <t>MX-INPUT-0144</t>
        </is>
      </c>
      <c r="B146" s="54" t="inlineStr">
        <is>
          <t>P1</t>
        </is>
      </c>
      <c r="C146" s="37" t="inlineStr">
        <is>
          <t>Backend/Validation</t>
        </is>
      </c>
      <c r="D146" s="37" t="inlineStr">
        <is>
          <t>impersonation (view-as) — Out-of-range value</t>
        </is>
      </c>
      <c r="E146" s="37" t="inlineStr">
        <is>
          <t>Confirms 'impersonation (view-as)' rejects the 'out-of-range value' case at the boundary with a structured error, instead of crashing, hanging, or processing bad data. Validation gaps here cause corrupt data, leaks, or fraud depending on the endpoint.</t>
        </is>
      </c>
      <c r="F146" s="37" t="inlineStr">
        <is>
          <t>Ability to send crafted requests (proxy/API client) with a valid and invalid session.</t>
        </is>
      </c>
      <c r="G146" s="37" t="inlineStr">
        <is>
          <t>1) Against 'impersonation (view-as)', send a negative/overflow/enum-violating value (e.g. negative amount, invalid grade). 2) Observe the response and any side effects.</t>
        </is>
      </c>
      <c r="H146" s="37" t="inlineStr">
        <is>
          <t>Returns a structured validation/authorisation error; no crash, no partial write, no data leak.</t>
        </is>
      </c>
      <c r="I146" s="37" t="inlineStr">
        <is>
          <t>Request/response capture</t>
        </is>
      </c>
      <c r="J146" s="43" t="inlineStr">
        <is>
          <t>NOT RUN</t>
        </is>
      </c>
      <c r="K146" s="37" t="inlineStr">
        <is>
          <t>Claude (pending env)</t>
        </is>
      </c>
      <c r="L146" s="37" t="n"/>
      <c r="M146" s="37" t="n"/>
      <c r="N146" s="37" t="inlineStr">
        <is>
          <t>[T4 | Phase 4 | Claude (pending env)] Playwright/authenticated-API against running env. awaiting running staging URL + test accounts</t>
        </is>
      </c>
    </row>
    <row r="147" ht="43.25" customHeight="1" s="29">
      <c r="A147" s="36" t="inlineStr">
        <is>
          <t>MX-INPUT-0145</t>
        </is>
      </c>
      <c r="B147" s="54" t="inlineStr">
        <is>
          <t>P1</t>
        </is>
      </c>
      <c r="C147" s="36" t="inlineStr">
        <is>
          <t>Backend/Validation</t>
        </is>
      </c>
      <c r="D147" s="36" t="inlineStr">
        <is>
          <t>impersonation (view-as) — Oversized payload</t>
        </is>
      </c>
      <c r="E147" s="36" t="inlineStr">
        <is>
          <t>Confirms 'impersonation (view-as)' rejects the 'oversized payload' case at the boundary with a structured error, instead of crashing, hanging, or processing bad data. Validation gaps here cause corrupt data, leaks, or fraud depending on the endpoint.</t>
        </is>
      </c>
      <c r="F147" s="36" t="inlineStr">
        <is>
          <t>Ability to send crafted requests (proxy/API client) with a valid and invalid session.</t>
        </is>
      </c>
      <c r="G147" s="36" t="inlineStr">
        <is>
          <t>1) Against 'impersonation (view-as)', send an oversized/deeply-nested payload. 2) Observe the response and any side effects.</t>
        </is>
      </c>
      <c r="H147" s="36" t="inlineStr">
        <is>
          <t>Returns a structured validation/authorisation error; no crash, no partial write, no data leak.</t>
        </is>
      </c>
      <c r="I147" s="36" t="inlineStr">
        <is>
          <t>Request/response capture</t>
        </is>
      </c>
      <c r="J147" s="41" t="inlineStr">
        <is>
          <t>NOT RUN</t>
        </is>
      </c>
      <c r="K147" s="36" t="inlineStr">
        <is>
          <t>Claude (pending env)</t>
        </is>
      </c>
      <c r="L147" s="36" t="n"/>
      <c r="M147" s="36" t="n"/>
      <c r="N147" s="36" t="inlineStr">
        <is>
          <t>[T4 | Phase 4 | Claude (pending env)] Playwright/authenticated-API against running env. awaiting running staging URL + test accounts</t>
        </is>
      </c>
    </row>
    <row r="148" ht="43.25" customHeight="1" s="29">
      <c r="A148" s="37" t="inlineStr">
        <is>
          <t>MX-INPUT-0146</t>
        </is>
      </c>
      <c r="B148" s="54" t="inlineStr">
        <is>
          <t>P1</t>
        </is>
      </c>
      <c r="C148" s="37" t="inlineStr">
        <is>
          <t>Backend/Validation</t>
        </is>
      </c>
      <c r="D148" s="37" t="inlineStr">
        <is>
          <t>impersonation (view-as) — Injection attempt</t>
        </is>
      </c>
      <c r="E148" s="37" t="inlineStr">
        <is>
          <t>Confirms 'impersonation (view-as)' rejects the 'injection attempt' case at the boundary with a structured error, instead of crashing, hanging, or processing bad data. Validation gaps here cause corrupt data, leaks, or fraud depending on the endpoint.</t>
        </is>
      </c>
      <c r="F148" s="37" t="inlineStr">
        <is>
          <t>Ability to send crafted requests (proxy/API client) with a valid and invalid session.</t>
        </is>
      </c>
      <c r="G148" s="37" t="inlineStr">
        <is>
          <t>1) Against 'impersonation (view-as)', send SQL/script metacharacters in string fields. 2) Observe the response and any side effects.</t>
        </is>
      </c>
      <c r="H148" s="37" t="inlineStr">
        <is>
          <t>Returns a structured validation/authorisation error; no crash, no partial write, no data leak.</t>
        </is>
      </c>
      <c r="I148" s="37" t="inlineStr">
        <is>
          <t>Request/response capture</t>
        </is>
      </c>
      <c r="J148" s="43" t="inlineStr">
        <is>
          <t>NOT RUN</t>
        </is>
      </c>
      <c r="K148" s="37" t="inlineStr">
        <is>
          <t>Claude (pending env)</t>
        </is>
      </c>
      <c r="L148" s="37" t="n"/>
      <c r="M148" s="37" t="n"/>
      <c r="N148" s="37" t="inlineStr">
        <is>
          <t>[T4 | Phase 4 | Claude (pending env)] Playwright/authenticated-API against running env. awaiting running staging URL + test accounts</t>
        </is>
      </c>
    </row>
    <row r="149" ht="43.25" customHeight="1" s="29">
      <c r="A149" s="36" t="inlineStr">
        <is>
          <t>MX-INPUT-0147</t>
        </is>
      </c>
      <c r="B149" s="53" t="inlineStr">
        <is>
          <t>P0</t>
        </is>
      </c>
      <c r="C149" s="36" t="inlineStr">
        <is>
          <t>Backend/Validation</t>
        </is>
      </c>
      <c r="D149" s="36" t="inlineStr">
        <is>
          <t>impersonation (view-as) — Unauthorised caller</t>
        </is>
      </c>
      <c r="E149" s="36" t="inlineStr">
        <is>
          <t>Confirms 'impersonation (view-as)' rejects the 'unauthorised caller' case at the boundary with a structured error, instead of crashing, hanging, or processing bad data. Validation gaps here cause corrupt data, leaks, or fraud depending on the endpoint.</t>
        </is>
      </c>
      <c r="F149" s="36" t="inlineStr">
        <is>
          <t>Ability to send crafted requests (proxy/API client) with a valid and invalid session.</t>
        </is>
      </c>
      <c r="G149" s="36" t="inlineStr">
        <is>
          <t>1) Against 'impersonation (view-as)', call without a valid session / as the wrong role. 2) Observe the response and any side effects.</t>
        </is>
      </c>
      <c r="H149" s="36" t="inlineStr">
        <is>
          <t>Returns a structured validation/authorisation error; no crash, no partial write, no data leak.</t>
        </is>
      </c>
      <c r="I149" s="36" t="inlineStr">
        <is>
          <t>Request/response capture</t>
        </is>
      </c>
      <c r="J149" s="41" t="inlineStr">
        <is>
          <t>NOT RUN</t>
        </is>
      </c>
      <c r="K149" s="36" t="inlineStr">
        <is>
          <t>Claude (pending env)</t>
        </is>
      </c>
      <c r="L149" s="36" t="n"/>
      <c r="M149" s="36" t="n"/>
      <c r="N149" s="36" t="inlineStr">
        <is>
          <t>[T4 | Phase 4 | Claude (pending env)] Playwright/authenticated-API against running env. awaiting running staging URL + test accounts</t>
        </is>
      </c>
    </row>
    <row r="150" ht="43.25" customHeight="1" s="29">
      <c r="A150" s="37" t="inlineStr">
        <is>
          <t>MX-INPUT-0148</t>
        </is>
      </c>
      <c r="B150" s="54" t="inlineStr">
        <is>
          <t>P1</t>
        </is>
      </c>
      <c r="C150" s="37" t="inlineStr">
        <is>
          <t>Backend/Validation</t>
        </is>
      </c>
      <c r="D150" s="37" t="inlineStr">
        <is>
          <t>data erasure request — Malformed UUID</t>
        </is>
      </c>
      <c r="E150" s="37" t="inlineStr">
        <is>
          <t>Confirms 'data erasure request' rejects the 'malformed uuid' case at the boundary with a structured error, instead of crashing, hanging, or processing bad data. Validation gaps here cause corrupt data, leaks, or fraud depending on the endpoint.</t>
        </is>
      </c>
      <c r="F150" s="37" t="inlineStr">
        <is>
          <t>Ability to send crafted requests (proxy/API client) with a valid and invalid session.</t>
        </is>
      </c>
      <c r="G150" s="37" t="inlineStr">
        <is>
          <t>1) Against 'data erasure request', send a non-UUID where a UUID is required. 2) Observe the response and any side effects.</t>
        </is>
      </c>
      <c r="H150" s="37" t="inlineStr">
        <is>
          <t>Returns a structured validation/authorisation error; no crash, no partial write, no data leak.</t>
        </is>
      </c>
      <c r="I150" s="37" t="inlineStr">
        <is>
          <t>Request/response capture</t>
        </is>
      </c>
      <c r="J150" s="43" t="inlineStr">
        <is>
          <t>NOT RUN</t>
        </is>
      </c>
      <c r="K150" s="37" t="inlineStr">
        <is>
          <t>Claude (pending env)</t>
        </is>
      </c>
      <c r="L150" s="37" t="n"/>
      <c r="M150" s="37" t="n"/>
      <c r="N150" s="37" t="inlineStr">
        <is>
          <t>[T4 | Phase 4 | Claude (pending env)] Playwright/authenticated-API against running env. awaiting running staging URL + test accounts</t>
        </is>
      </c>
    </row>
    <row r="151" ht="43.25" customHeight="1" s="29">
      <c r="A151" s="36" t="inlineStr">
        <is>
          <t>MX-INPUT-0149</t>
        </is>
      </c>
      <c r="B151" s="54" t="inlineStr">
        <is>
          <t>P1</t>
        </is>
      </c>
      <c r="C151" s="36" t="inlineStr">
        <is>
          <t>Backend/Validation</t>
        </is>
      </c>
      <c r="D151" s="36" t="inlineStr">
        <is>
          <t>data erasure request — Missing required field</t>
        </is>
      </c>
      <c r="E151" s="36" t="inlineStr">
        <is>
          <t>Confirms 'data erasure request' rejects the 'missing required field' case at the boundary with a structured error, instead of crashing, hanging, or processing bad data. Validation gaps here cause corrupt data, leaks, or fraud depending on the endpoint.</t>
        </is>
      </c>
      <c r="F151" s="36" t="inlineStr">
        <is>
          <t>Ability to send crafted requests (proxy/API client) with a valid and invalid session.</t>
        </is>
      </c>
      <c r="G151" s="36" t="inlineStr">
        <is>
          <t>1) Against 'data erasure request', omit a required field. 2) Observe the response and any side effects.</t>
        </is>
      </c>
      <c r="H151" s="36" t="inlineStr">
        <is>
          <t>Returns a structured validation/authorisation error; no crash, no partial write, no data leak.</t>
        </is>
      </c>
      <c r="I151" s="36" t="inlineStr">
        <is>
          <t>Request/response capture</t>
        </is>
      </c>
      <c r="J151" s="41" t="inlineStr">
        <is>
          <t>NOT RUN</t>
        </is>
      </c>
      <c r="K151" s="36" t="inlineStr">
        <is>
          <t>Claude (pending env)</t>
        </is>
      </c>
      <c r="L151" s="36" t="n"/>
      <c r="M151" s="36" t="n"/>
      <c r="N151" s="36" t="inlineStr">
        <is>
          <t>[T4 | Phase 4 | Claude (pending env)] Playwright/authenticated-API against running env. awaiting running staging URL + test accounts</t>
        </is>
      </c>
    </row>
    <row r="152" ht="43.25" customHeight="1" s="29">
      <c r="A152" s="37" t="inlineStr">
        <is>
          <t>MX-INPUT-0150</t>
        </is>
      </c>
      <c r="B152" s="54" t="inlineStr">
        <is>
          <t>P1</t>
        </is>
      </c>
      <c r="C152" s="37" t="inlineStr">
        <is>
          <t>Backend/Validation</t>
        </is>
      </c>
      <c r="D152" s="37" t="inlineStr">
        <is>
          <t>data erasure request — Wrong type</t>
        </is>
      </c>
      <c r="E152" s="37" t="inlineStr">
        <is>
          <t>Confirms 'data erasure request' rejects the 'wrong type' case at the boundary with a structured error, instead of crashing, hanging, or processing bad data. Validation gaps here cause corrupt data, leaks, or fraud depending on the endpoint.</t>
        </is>
      </c>
      <c r="F152" s="37" t="inlineStr">
        <is>
          <t>Ability to send crafted requests (proxy/API client) with a valid and invalid session.</t>
        </is>
      </c>
      <c r="G152" s="37" t="inlineStr">
        <is>
          <t>1) Against 'data erasure request', send a string where a number/enum is expected. 2) Observe the response and any side effects.</t>
        </is>
      </c>
      <c r="H152" s="37" t="inlineStr">
        <is>
          <t>Returns a structured validation/authorisation error; no crash, no partial write, no data leak.</t>
        </is>
      </c>
      <c r="I152" s="37" t="inlineStr">
        <is>
          <t>Request/response capture</t>
        </is>
      </c>
      <c r="J152" s="43" t="inlineStr">
        <is>
          <t>NOT RUN</t>
        </is>
      </c>
      <c r="K152" s="37" t="inlineStr">
        <is>
          <t>Claude (pending env)</t>
        </is>
      </c>
      <c r="L152" s="37" t="n"/>
      <c r="M152" s="37" t="n"/>
      <c r="N152" s="37" t="inlineStr">
        <is>
          <t>[T4 | Phase 4 | Claude (pending env)] Playwright/authenticated-API against running env. awaiting running staging URL + test accounts</t>
        </is>
      </c>
    </row>
    <row r="153" ht="43.25" customHeight="1" s="29">
      <c r="A153" s="36" t="inlineStr">
        <is>
          <t>MX-INPUT-0151</t>
        </is>
      </c>
      <c r="B153" s="54" t="inlineStr">
        <is>
          <t>P1</t>
        </is>
      </c>
      <c r="C153" s="36" t="inlineStr">
        <is>
          <t>Backend/Validation</t>
        </is>
      </c>
      <c r="D153" s="36" t="inlineStr">
        <is>
          <t>data erasure request — Out-of-range value</t>
        </is>
      </c>
      <c r="E153" s="36" t="inlineStr">
        <is>
          <t>Confirms 'data erasure request' rejects the 'out-of-range value' case at the boundary with a structured error, instead of crashing, hanging, or processing bad data. Validation gaps here cause corrupt data, leaks, or fraud depending on the endpoint.</t>
        </is>
      </c>
      <c r="F153" s="36" t="inlineStr">
        <is>
          <t>Ability to send crafted requests (proxy/API client) with a valid and invalid session.</t>
        </is>
      </c>
      <c r="G153" s="36" t="inlineStr">
        <is>
          <t>1) Against 'data erasure request', send a negative/overflow/enum-violating value (e.g. negative amount, invalid grade). 2) Observe the response and any side effects.</t>
        </is>
      </c>
      <c r="H153" s="36" t="inlineStr">
        <is>
          <t>Returns a structured validation/authorisation error; no crash, no partial write, no data leak.</t>
        </is>
      </c>
      <c r="I153" s="36" t="inlineStr">
        <is>
          <t>Request/response capture</t>
        </is>
      </c>
      <c r="J153" s="41" t="inlineStr">
        <is>
          <t>NOT RUN</t>
        </is>
      </c>
      <c r="K153" s="36" t="inlineStr">
        <is>
          <t>Claude (pending env)</t>
        </is>
      </c>
      <c r="L153" s="36" t="n"/>
      <c r="M153" s="36" t="n"/>
      <c r="N153" s="36" t="inlineStr">
        <is>
          <t>[T4 | Phase 4 | Claude (pending env)] Playwright/authenticated-API against running env. awaiting running staging URL + test accounts</t>
        </is>
      </c>
    </row>
    <row r="154" ht="43.25" customHeight="1" s="29">
      <c r="A154" s="37" t="inlineStr">
        <is>
          <t>MX-INPUT-0152</t>
        </is>
      </c>
      <c r="B154" s="54" t="inlineStr">
        <is>
          <t>P1</t>
        </is>
      </c>
      <c r="C154" s="37" t="inlineStr">
        <is>
          <t>Backend/Validation</t>
        </is>
      </c>
      <c r="D154" s="37" t="inlineStr">
        <is>
          <t>data erasure request — Oversized payload</t>
        </is>
      </c>
      <c r="E154" s="37" t="inlineStr">
        <is>
          <t>Confirms 'data erasure request' rejects the 'oversized payload' case at the boundary with a structured error, instead of crashing, hanging, or processing bad data. Validation gaps here cause corrupt data, leaks, or fraud depending on the endpoint.</t>
        </is>
      </c>
      <c r="F154" s="37" t="inlineStr">
        <is>
          <t>Ability to send crafted requests (proxy/API client) with a valid and invalid session.</t>
        </is>
      </c>
      <c r="G154" s="37" t="inlineStr">
        <is>
          <t>1) Against 'data erasure request', send an oversized/deeply-nested payload. 2) Observe the response and any side effects.</t>
        </is>
      </c>
      <c r="H154" s="37" t="inlineStr">
        <is>
          <t>Returns a structured validation/authorisation error; no crash, no partial write, no data leak.</t>
        </is>
      </c>
      <c r="I154" s="37" t="inlineStr">
        <is>
          <t>Request/response capture</t>
        </is>
      </c>
      <c r="J154" s="43" t="inlineStr">
        <is>
          <t>NOT RUN</t>
        </is>
      </c>
      <c r="K154" s="37" t="inlineStr">
        <is>
          <t>Claude (pending env)</t>
        </is>
      </c>
      <c r="L154" s="37" t="n"/>
      <c r="M154" s="37" t="n"/>
      <c r="N154" s="37" t="inlineStr">
        <is>
          <t>[T4 | Phase 4 | Claude (pending env)] Playwright/authenticated-API against running env. awaiting running staging URL + test accounts</t>
        </is>
      </c>
    </row>
    <row r="155" ht="43.25" customHeight="1" s="29">
      <c r="A155" s="36" t="inlineStr">
        <is>
          <t>MX-INPUT-0153</t>
        </is>
      </c>
      <c r="B155" s="54" t="inlineStr">
        <is>
          <t>P1</t>
        </is>
      </c>
      <c r="C155" s="36" t="inlineStr">
        <is>
          <t>Backend/Validation</t>
        </is>
      </c>
      <c r="D155" s="36" t="inlineStr">
        <is>
          <t>data erasure request — Injection attempt</t>
        </is>
      </c>
      <c r="E155" s="36" t="inlineStr">
        <is>
          <t>Confirms 'data erasure request' rejects the 'injection attempt' case at the boundary with a structured error, instead of crashing, hanging, or processing bad data. Validation gaps here cause corrupt data, leaks, or fraud depending on the endpoint.</t>
        </is>
      </c>
      <c r="F155" s="36" t="inlineStr">
        <is>
          <t>Ability to send crafted requests (proxy/API client) with a valid and invalid session.</t>
        </is>
      </c>
      <c r="G155" s="36" t="inlineStr">
        <is>
          <t>1) Against 'data erasure request', send SQL/script metacharacters in string fields. 2) Observe the response and any side effects.</t>
        </is>
      </c>
      <c r="H155" s="36" t="inlineStr">
        <is>
          <t>Returns a structured validation/authorisation error; no crash, no partial write, no data leak.</t>
        </is>
      </c>
      <c r="I155" s="36" t="inlineStr">
        <is>
          <t>Request/response capture</t>
        </is>
      </c>
      <c r="J155" s="41" t="inlineStr">
        <is>
          <t>NOT RUN</t>
        </is>
      </c>
      <c r="K155" s="36" t="inlineStr">
        <is>
          <t>Claude (pending env)</t>
        </is>
      </c>
      <c r="L155" s="36" t="n"/>
      <c r="M155" s="36" t="n"/>
      <c r="N155" s="36" t="inlineStr">
        <is>
          <t>[T4 | Phase 4 | Claude (pending env)] Playwright/authenticated-API against running env. awaiting running staging URL + test accounts</t>
        </is>
      </c>
    </row>
    <row r="156" ht="43.25" customHeight="1" s="29">
      <c r="A156" s="37" t="inlineStr">
        <is>
          <t>MX-INPUT-0154</t>
        </is>
      </c>
      <c r="B156" s="53" t="inlineStr">
        <is>
          <t>P0</t>
        </is>
      </c>
      <c r="C156" s="37" t="inlineStr">
        <is>
          <t>Backend/Validation</t>
        </is>
      </c>
      <c r="D156" s="37" t="inlineStr">
        <is>
          <t>data erasure request — Unauthorised caller</t>
        </is>
      </c>
      <c r="E156" s="37" t="inlineStr">
        <is>
          <t>Confirms 'data erasure request' rejects the 'unauthorised caller' case at the boundary with a structured error, instead of crashing, hanging, or processing bad data. Validation gaps here cause corrupt data, leaks, or fraud depending on the endpoint.</t>
        </is>
      </c>
      <c r="F156" s="37" t="inlineStr">
        <is>
          <t>Ability to send crafted requests (proxy/API client) with a valid and invalid session.</t>
        </is>
      </c>
      <c r="G156" s="37" t="inlineStr">
        <is>
          <t>1) Against 'data erasure request', call without a valid session / as the wrong role. 2) Observe the response and any side effects.</t>
        </is>
      </c>
      <c r="H156" s="37" t="inlineStr">
        <is>
          <t>Returns a structured validation/authorisation error; no crash, no partial write, no data leak.</t>
        </is>
      </c>
      <c r="I156" s="37" t="inlineStr">
        <is>
          <t>Request/response capture</t>
        </is>
      </c>
      <c r="J156" s="43" t="inlineStr">
        <is>
          <t>NOT RUN</t>
        </is>
      </c>
      <c r="K156" s="37" t="inlineStr">
        <is>
          <t>Claude (pending env)</t>
        </is>
      </c>
      <c r="L156" s="37" t="n"/>
      <c r="M156" s="37" t="n"/>
      <c r="N156" s="37" t="inlineStr">
        <is>
          <t>[T4 | Phase 4 | Claude (pending env)] Playwright/authenticated-API against running env. awaiting running staging URL + test accounts</t>
        </is>
      </c>
    </row>
    <row r="157" ht="43.25" customHeight="1" s="29">
      <c r="A157" s="36" t="inlineStr">
        <is>
          <t>MX-INPUT-0155</t>
        </is>
      </c>
      <c r="B157" s="54" t="inlineStr">
        <is>
          <t>P1</t>
        </is>
      </c>
      <c r="C157" s="36" t="inlineStr">
        <is>
          <t>Backend/Validation</t>
        </is>
      </c>
      <c r="D157" s="36" t="inlineStr">
        <is>
          <t>data export request — Malformed UUID</t>
        </is>
      </c>
      <c r="E157" s="36" t="inlineStr">
        <is>
          <t>Confirms 'data export request' rejects the 'malformed uuid' case at the boundary with a structured error, instead of crashing, hanging, or processing bad data. Validation gaps here cause corrupt data, leaks, or fraud depending on the endpoint.</t>
        </is>
      </c>
      <c r="F157" s="36" t="inlineStr">
        <is>
          <t>Ability to send crafted requests (proxy/API client) with a valid and invalid session.</t>
        </is>
      </c>
      <c r="G157" s="36" t="inlineStr">
        <is>
          <t>1) Against 'data export request', send a non-UUID where a UUID is required. 2) Observe the response and any side effects.</t>
        </is>
      </c>
      <c r="H157" s="36" t="inlineStr">
        <is>
          <t>Returns a structured validation/authorisation error; no crash, no partial write, no data leak.</t>
        </is>
      </c>
      <c r="I157" s="36" t="inlineStr">
        <is>
          <t>Request/response capture</t>
        </is>
      </c>
      <c r="J157" s="41" t="inlineStr">
        <is>
          <t>NOT RUN</t>
        </is>
      </c>
      <c r="K157" s="36" t="inlineStr">
        <is>
          <t>Claude (pending env)</t>
        </is>
      </c>
      <c r="L157" s="36" t="n"/>
      <c r="M157" s="36" t="n"/>
      <c r="N157" s="36" t="inlineStr">
        <is>
          <t>[T4 | Phase 4 | Claude (pending env)] Playwright/authenticated-API against running env. awaiting running staging URL + test accounts</t>
        </is>
      </c>
    </row>
    <row r="158" ht="43.25" customHeight="1" s="29">
      <c r="A158" s="37" t="inlineStr">
        <is>
          <t>MX-INPUT-0156</t>
        </is>
      </c>
      <c r="B158" s="54" t="inlineStr">
        <is>
          <t>P1</t>
        </is>
      </c>
      <c r="C158" s="37" t="inlineStr">
        <is>
          <t>Backend/Validation</t>
        </is>
      </c>
      <c r="D158" s="37" t="inlineStr">
        <is>
          <t>data export request — Missing required field</t>
        </is>
      </c>
      <c r="E158" s="37" t="inlineStr">
        <is>
          <t>Confirms 'data export request' rejects the 'missing required field' case at the boundary with a structured error, instead of crashing, hanging, or processing bad data. Validation gaps here cause corrupt data, leaks, or fraud depending on the endpoint.</t>
        </is>
      </c>
      <c r="F158" s="37" t="inlineStr">
        <is>
          <t>Ability to send crafted requests (proxy/API client) with a valid and invalid session.</t>
        </is>
      </c>
      <c r="G158" s="37" t="inlineStr">
        <is>
          <t>1) Against 'data export request', omit a required field. 2) Observe the response and any side effects.</t>
        </is>
      </c>
      <c r="H158" s="37" t="inlineStr">
        <is>
          <t>Returns a structured validation/authorisation error; no crash, no partial write, no data leak.</t>
        </is>
      </c>
      <c r="I158" s="37" t="inlineStr">
        <is>
          <t>Request/response capture</t>
        </is>
      </c>
      <c r="J158" s="43" t="inlineStr">
        <is>
          <t>NOT RUN</t>
        </is>
      </c>
      <c r="K158" s="37" t="inlineStr">
        <is>
          <t>Claude (pending env)</t>
        </is>
      </c>
      <c r="L158" s="37" t="n"/>
      <c r="M158" s="37" t="n"/>
      <c r="N158" s="37" t="inlineStr">
        <is>
          <t>[T4 | Phase 4 | Claude (pending env)] Playwright/authenticated-API against running env. awaiting running staging URL + test accounts</t>
        </is>
      </c>
    </row>
    <row r="159" ht="43.25" customHeight="1" s="29">
      <c r="A159" s="36" t="inlineStr">
        <is>
          <t>MX-INPUT-0157</t>
        </is>
      </c>
      <c r="B159" s="54" t="inlineStr">
        <is>
          <t>P1</t>
        </is>
      </c>
      <c r="C159" s="36" t="inlineStr">
        <is>
          <t>Backend/Validation</t>
        </is>
      </c>
      <c r="D159" s="36" t="inlineStr">
        <is>
          <t>data export request — Wrong type</t>
        </is>
      </c>
      <c r="E159" s="36" t="inlineStr">
        <is>
          <t>Confirms 'data export request' rejects the 'wrong type' case at the boundary with a structured error, instead of crashing, hanging, or processing bad data. Validation gaps here cause corrupt data, leaks, or fraud depending on the endpoint.</t>
        </is>
      </c>
      <c r="F159" s="36" t="inlineStr">
        <is>
          <t>Ability to send crafted requests (proxy/API client) with a valid and invalid session.</t>
        </is>
      </c>
      <c r="G159" s="36" t="inlineStr">
        <is>
          <t>1) Against 'data export request', send a string where a number/enum is expected. 2) Observe the response and any side effects.</t>
        </is>
      </c>
      <c r="H159" s="36" t="inlineStr">
        <is>
          <t>Returns a structured validation/authorisation error; no crash, no partial write, no data leak.</t>
        </is>
      </c>
      <c r="I159" s="36" t="inlineStr">
        <is>
          <t>Request/response capture</t>
        </is>
      </c>
      <c r="J159" s="41" t="inlineStr">
        <is>
          <t>NOT RUN</t>
        </is>
      </c>
      <c r="K159" s="36" t="inlineStr">
        <is>
          <t>Claude (pending env)</t>
        </is>
      </c>
      <c r="L159" s="36" t="n"/>
      <c r="M159" s="36" t="n"/>
      <c r="N159" s="36" t="inlineStr">
        <is>
          <t>[T4 | Phase 4 | Claude (pending env)] Playwright/authenticated-API against running env. awaiting running staging URL + test accounts</t>
        </is>
      </c>
    </row>
    <row r="160" ht="43.25" customHeight="1" s="29">
      <c r="A160" s="37" t="inlineStr">
        <is>
          <t>MX-INPUT-0158</t>
        </is>
      </c>
      <c r="B160" s="54" t="inlineStr">
        <is>
          <t>P1</t>
        </is>
      </c>
      <c r="C160" s="37" t="inlineStr">
        <is>
          <t>Backend/Validation</t>
        </is>
      </c>
      <c r="D160" s="37" t="inlineStr">
        <is>
          <t>data export request — Out-of-range value</t>
        </is>
      </c>
      <c r="E160" s="37" t="inlineStr">
        <is>
          <t>Confirms 'data export request' rejects the 'out-of-range value' case at the boundary with a structured error, instead of crashing, hanging, or processing bad data. Validation gaps here cause corrupt data, leaks, or fraud depending on the endpoint.</t>
        </is>
      </c>
      <c r="F160" s="37" t="inlineStr">
        <is>
          <t>Ability to send crafted requests (proxy/API client) with a valid and invalid session.</t>
        </is>
      </c>
      <c r="G160" s="37" t="inlineStr">
        <is>
          <t>1) Against 'data export request', send a negative/overflow/enum-violating value (e.g. negative amount, invalid grade). 2) Observe the response and any side effects.</t>
        </is>
      </c>
      <c r="H160" s="37" t="inlineStr">
        <is>
          <t>Returns a structured validation/authorisation error; no crash, no partial write, no data leak.</t>
        </is>
      </c>
      <c r="I160" s="37" t="inlineStr">
        <is>
          <t>Request/response capture</t>
        </is>
      </c>
      <c r="J160" s="43" t="inlineStr">
        <is>
          <t>NOT RUN</t>
        </is>
      </c>
      <c r="K160" s="37" t="inlineStr">
        <is>
          <t>Claude (pending env)</t>
        </is>
      </c>
      <c r="L160" s="37" t="n"/>
      <c r="M160" s="37" t="n"/>
      <c r="N160" s="37" t="inlineStr">
        <is>
          <t>[T4 | Phase 4 | Claude (pending env)] Playwright/authenticated-API against running env. awaiting running staging URL + test accounts</t>
        </is>
      </c>
    </row>
    <row r="161" ht="43.25" customHeight="1" s="29">
      <c r="A161" s="36" t="inlineStr">
        <is>
          <t>MX-INPUT-0159</t>
        </is>
      </c>
      <c r="B161" s="54" t="inlineStr">
        <is>
          <t>P1</t>
        </is>
      </c>
      <c r="C161" s="36" t="inlineStr">
        <is>
          <t>Backend/Validation</t>
        </is>
      </c>
      <c r="D161" s="36" t="inlineStr">
        <is>
          <t>data export request — Oversized payload</t>
        </is>
      </c>
      <c r="E161" s="36" t="inlineStr">
        <is>
          <t>Confirms 'data export request' rejects the 'oversized payload' case at the boundary with a structured error, instead of crashing, hanging, or processing bad data. Validation gaps here cause corrupt data, leaks, or fraud depending on the endpoint.</t>
        </is>
      </c>
      <c r="F161" s="36" t="inlineStr">
        <is>
          <t>Ability to send crafted requests (proxy/API client) with a valid and invalid session.</t>
        </is>
      </c>
      <c r="G161" s="36" t="inlineStr">
        <is>
          <t>1) Against 'data export request', send an oversized/deeply-nested payload. 2) Observe the response and any side effects.</t>
        </is>
      </c>
      <c r="H161" s="36" t="inlineStr">
        <is>
          <t>Returns a structured validation/authorisation error; no crash, no partial write, no data leak.</t>
        </is>
      </c>
      <c r="I161" s="36" t="inlineStr">
        <is>
          <t>Request/response capture</t>
        </is>
      </c>
      <c r="J161" s="41" t="inlineStr">
        <is>
          <t>NOT RUN</t>
        </is>
      </c>
      <c r="K161" s="36" t="inlineStr">
        <is>
          <t>Claude (pending env)</t>
        </is>
      </c>
      <c r="L161" s="36" t="n"/>
      <c r="M161" s="36" t="n"/>
      <c r="N161" s="36" t="inlineStr">
        <is>
          <t>[T4 | Phase 4 | Claude (pending env)] Playwright/authenticated-API against running env. awaiting running staging URL + test accounts</t>
        </is>
      </c>
    </row>
    <row r="162" ht="43.25" customHeight="1" s="29">
      <c r="A162" s="37" t="inlineStr">
        <is>
          <t>MX-INPUT-0160</t>
        </is>
      </c>
      <c r="B162" s="54" t="inlineStr">
        <is>
          <t>P1</t>
        </is>
      </c>
      <c r="C162" s="37" t="inlineStr">
        <is>
          <t>Backend/Validation</t>
        </is>
      </c>
      <c r="D162" s="37" t="inlineStr">
        <is>
          <t>data export request — Injection attempt</t>
        </is>
      </c>
      <c r="E162" s="37" t="inlineStr">
        <is>
          <t>Confirms 'data export request' rejects the 'injection attempt' case at the boundary with a structured error, instead of crashing, hanging, or processing bad data. Validation gaps here cause corrupt data, leaks, or fraud depending on the endpoint.</t>
        </is>
      </c>
      <c r="F162" s="37" t="inlineStr">
        <is>
          <t>Ability to send crafted requests (proxy/API client) with a valid and invalid session.</t>
        </is>
      </c>
      <c r="G162" s="37" t="inlineStr">
        <is>
          <t>1) Against 'data export request', send SQL/script metacharacters in string fields. 2) Observe the response and any side effects.</t>
        </is>
      </c>
      <c r="H162" s="37" t="inlineStr">
        <is>
          <t>Returns a structured validation/authorisation error; no crash, no partial write, no data leak.</t>
        </is>
      </c>
      <c r="I162" s="37" t="inlineStr">
        <is>
          <t>Request/response capture</t>
        </is>
      </c>
      <c r="J162" s="43" t="inlineStr">
        <is>
          <t>NOT RUN</t>
        </is>
      </c>
      <c r="K162" s="37" t="inlineStr">
        <is>
          <t>Claude (pending env)</t>
        </is>
      </c>
      <c r="L162" s="37" t="n"/>
      <c r="M162" s="37" t="n"/>
      <c r="N162" s="37" t="inlineStr">
        <is>
          <t>[T4 | Phase 4 | Claude (pending env)] Playwright/authenticated-API against running env. awaiting running staging URL + test accounts</t>
        </is>
      </c>
    </row>
    <row r="163" ht="43.25" customHeight="1" s="29">
      <c r="A163" s="36" t="inlineStr">
        <is>
          <t>MX-INPUT-0161</t>
        </is>
      </c>
      <c r="B163" s="54" t="inlineStr">
        <is>
          <t>P1</t>
        </is>
      </c>
      <c r="C163" s="36" t="inlineStr">
        <is>
          <t>Backend/Validation</t>
        </is>
      </c>
      <c r="D163" s="36" t="inlineStr">
        <is>
          <t>data export request — Unauthorised caller</t>
        </is>
      </c>
      <c r="E163" s="36" t="inlineStr">
        <is>
          <t>Confirms 'data export request' rejects the 'unauthorised caller' case at the boundary with a structured error, instead of crashing, hanging, or processing bad data. Validation gaps here cause corrupt data, leaks, or fraud depending on the endpoint.</t>
        </is>
      </c>
      <c r="F163" s="36" t="inlineStr">
        <is>
          <t>Ability to send crafted requests (proxy/API client) with a valid and invalid session.</t>
        </is>
      </c>
      <c r="G163" s="36" t="inlineStr">
        <is>
          <t>1) Against 'data export request', call without a valid session / as the wrong role. 2) Observe the response and any side effects.</t>
        </is>
      </c>
      <c r="H163" s="36" t="inlineStr">
        <is>
          <t>Returns a structured validation/authorisation error; no crash, no partial write, no data leak.</t>
        </is>
      </c>
      <c r="I163" s="36" t="inlineStr">
        <is>
          <t>Request/response capture</t>
        </is>
      </c>
      <c r="J163" s="41" t="inlineStr">
        <is>
          <t>NOT RUN</t>
        </is>
      </c>
      <c r="K163" s="36" t="inlineStr">
        <is>
          <t>Claude (pending env)</t>
        </is>
      </c>
      <c r="L163" s="36" t="n"/>
      <c r="M163" s="36" t="n"/>
      <c r="N163" s="36" t="inlineStr">
        <is>
          <t>[T4 | Phase 4 | Claude (pending env)] Playwright/authenticated-API against running env. awaiting running staging URL + test accounts</t>
        </is>
      </c>
    </row>
    <row r="164" ht="53.7" customHeight="1" s="29">
      <c r="A164" s="37" t="inlineStr">
        <is>
          <t>MX-INPUT-0162</t>
        </is>
      </c>
      <c r="B164" s="54" t="inlineStr">
        <is>
          <t>P1</t>
        </is>
      </c>
      <c r="C164" s="37" t="inlineStr">
        <is>
          <t>Backend/Validation</t>
        </is>
      </c>
      <c r="D164" s="37" t="inlineStr">
        <is>
          <t>check_and_record_usage (quota) — Malformed UUID</t>
        </is>
      </c>
      <c r="E164" s="37" t="inlineStr">
        <is>
          <t>Confirms 'check_and_record_usage (quota)' rejects the 'malformed uuid' case at the boundary with a structured error, instead of crashing, hanging, or processing bad data. Validation gaps here cause corrupt data, leaks, or fraud depending on the endpoint.</t>
        </is>
      </c>
      <c r="F164" s="37" t="inlineStr">
        <is>
          <t>Ability to send crafted requests (proxy/API client) with a valid and invalid session.</t>
        </is>
      </c>
      <c r="G164" s="37" t="inlineStr">
        <is>
          <t>1) Against 'check_and_record_usage (quota)', send a non-UUID where a UUID is required. 2) Observe the response and any side effects.</t>
        </is>
      </c>
      <c r="H164" s="37" t="inlineStr">
        <is>
          <t>Returns a structured validation/authorisation error; no crash, no partial write, no data leak.</t>
        </is>
      </c>
      <c r="I164" s="37" t="inlineStr">
        <is>
          <t>Request/response capture</t>
        </is>
      </c>
      <c r="J164" s="43" t="inlineStr">
        <is>
          <t>NOT RUN</t>
        </is>
      </c>
      <c r="K164" s="37" t="inlineStr">
        <is>
          <t>Claude (pending env)</t>
        </is>
      </c>
      <c r="L164" s="37" t="n"/>
      <c r="M164" s="37" t="n"/>
      <c r="N164" s="37" t="inlineStr">
        <is>
          <t>[T4 | Phase 4 | Claude (pending env)] Playwright/authenticated-API against running env. awaiting running staging URL + test accounts</t>
        </is>
      </c>
    </row>
    <row r="165" ht="53.7" customHeight="1" s="29">
      <c r="A165" s="36" t="inlineStr">
        <is>
          <t>MX-INPUT-0163</t>
        </is>
      </c>
      <c r="B165" s="54" t="inlineStr">
        <is>
          <t>P1</t>
        </is>
      </c>
      <c r="C165" s="36" t="inlineStr">
        <is>
          <t>Backend/Validation</t>
        </is>
      </c>
      <c r="D165" s="36" t="inlineStr">
        <is>
          <t>check_and_record_usage (quota) — Missing required field</t>
        </is>
      </c>
      <c r="E165" s="36" t="inlineStr">
        <is>
          <t>Confirms 'check_and_record_usage (quota)' rejects the 'missing required field' case at the boundary with a structured error, instead of crashing, hanging, or processing bad data. Validation gaps here cause corrupt data, leaks, or fraud depending on the endpoint.</t>
        </is>
      </c>
      <c r="F165" s="36" t="inlineStr">
        <is>
          <t>Ability to send crafted requests (proxy/API client) with a valid and invalid session.</t>
        </is>
      </c>
      <c r="G165" s="36" t="inlineStr">
        <is>
          <t>1) Against 'check_and_record_usage (quota)', omit a required field. 2) Observe the response and any side effects.</t>
        </is>
      </c>
      <c r="H165" s="36" t="inlineStr">
        <is>
          <t>Returns a structured validation/authorisation error; no crash, no partial write, no data leak.</t>
        </is>
      </c>
      <c r="I165" s="36" t="inlineStr">
        <is>
          <t>Request/response capture</t>
        </is>
      </c>
      <c r="J165" s="41" t="inlineStr">
        <is>
          <t>NOT RUN</t>
        </is>
      </c>
      <c r="K165" s="36" t="inlineStr">
        <is>
          <t>Claude (pending env)</t>
        </is>
      </c>
      <c r="L165" s="36" t="n"/>
      <c r="M165" s="36" t="n"/>
      <c r="N165" s="36" t="inlineStr">
        <is>
          <t>[T4 | Phase 4 | Claude (pending env)] Playwright/authenticated-API against running env. awaiting running staging URL + test accounts</t>
        </is>
      </c>
    </row>
    <row r="166" ht="43.25" customHeight="1" s="29">
      <c r="A166" s="37" t="inlineStr">
        <is>
          <t>MX-INPUT-0164</t>
        </is>
      </c>
      <c r="B166" s="54" t="inlineStr">
        <is>
          <t>P1</t>
        </is>
      </c>
      <c r="C166" s="37" t="inlineStr">
        <is>
          <t>Backend/Validation</t>
        </is>
      </c>
      <c r="D166" s="37" t="inlineStr">
        <is>
          <t>check_and_record_usage (quota) — Wrong type</t>
        </is>
      </c>
      <c r="E166" s="37" t="inlineStr">
        <is>
          <t>Confirms 'check_and_record_usage (quota)' rejects the 'wrong type' case at the boundary with a structured error, instead of crashing, hanging, or processing bad data. Validation gaps here cause corrupt data, leaks, or fraud depending on the endpoint.</t>
        </is>
      </c>
      <c r="F166" s="37" t="inlineStr">
        <is>
          <t>Ability to send crafted requests (proxy/API client) with a valid and invalid session.</t>
        </is>
      </c>
      <c r="G166" s="37" t="inlineStr">
        <is>
          <t>1) Against 'check_and_record_usage (quota)', send a string where a number/enum is expected. 2) Observe the response and any side effects.</t>
        </is>
      </c>
      <c r="H166" s="37" t="inlineStr">
        <is>
          <t>Returns a structured validation/authorisation error; no crash, no partial write, no data leak.</t>
        </is>
      </c>
      <c r="I166" s="37" t="inlineStr">
        <is>
          <t>Request/response capture</t>
        </is>
      </c>
      <c r="J166" s="43" t="inlineStr">
        <is>
          <t>NOT RUN</t>
        </is>
      </c>
      <c r="K166" s="37" t="inlineStr">
        <is>
          <t>Claude (pending env)</t>
        </is>
      </c>
      <c r="L166" s="37" t="n"/>
      <c r="M166" s="37" t="n"/>
      <c r="N166" s="37" t="inlineStr">
        <is>
          <t>[T4 | Phase 4 | Claude (pending env)] Playwright/authenticated-API against running env. awaiting running staging URL + test accounts</t>
        </is>
      </c>
    </row>
    <row r="167" ht="53.7" customHeight="1" s="29">
      <c r="A167" s="36" t="inlineStr">
        <is>
          <t>MX-INPUT-0165</t>
        </is>
      </c>
      <c r="B167" s="54" t="inlineStr">
        <is>
          <t>P1</t>
        </is>
      </c>
      <c r="C167" s="36" t="inlineStr">
        <is>
          <t>Backend/Validation</t>
        </is>
      </c>
      <c r="D167" s="36" t="inlineStr">
        <is>
          <t>check_and_record_usage (quota) — Out-of-range value</t>
        </is>
      </c>
      <c r="E167" s="36" t="inlineStr">
        <is>
          <t>Confirms 'check_and_record_usage (quota)' rejects the 'out-of-range value' case at the boundary with a structured error, instead of crashing, hanging, or processing bad data. Validation gaps here cause corrupt data, leaks, or fraud depending on the endpoint.</t>
        </is>
      </c>
      <c r="F167" s="36" t="inlineStr">
        <is>
          <t>Ability to send crafted requests (proxy/API client) with a valid and invalid session.</t>
        </is>
      </c>
      <c r="G167" s="36" t="inlineStr">
        <is>
          <t>1) Against 'check_and_record_usage (quota)', send a negative/overflow/enum-violating value (e.g. negative amount, invalid grade). 2) Observe the response and any side effects.</t>
        </is>
      </c>
      <c r="H167" s="36" t="inlineStr">
        <is>
          <t>Returns a structured validation/authorisation error; no crash, no partial write, no data leak.</t>
        </is>
      </c>
      <c r="I167" s="36" t="inlineStr">
        <is>
          <t>Request/response capture</t>
        </is>
      </c>
      <c r="J167" s="41" t="inlineStr">
        <is>
          <t>NOT RUN</t>
        </is>
      </c>
      <c r="K167" s="36" t="inlineStr">
        <is>
          <t>Claude (pending env)</t>
        </is>
      </c>
      <c r="L167" s="36" t="n"/>
      <c r="M167" s="36" t="n"/>
      <c r="N167" s="36" t="inlineStr">
        <is>
          <t>[T4 | Phase 4 | Claude (pending env)] Playwright/authenticated-API against running env. awaiting running staging URL + test accounts</t>
        </is>
      </c>
    </row>
    <row r="168" ht="53.7" customHeight="1" s="29">
      <c r="A168" s="37" t="inlineStr">
        <is>
          <t>MX-INPUT-0166</t>
        </is>
      </c>
      <c r="B168" s="54" t="inlineStr">
        <is>
          <t>P1</t>
        </is>
      </c>
      <c r="C168" s="37" t="inlineStr">
        <is>
          <t>Backend/Validation</t>
        </is>
      </c>
      <c r="D168" s="37" t="inlineStr">
        <is>
          <t>check_and_record_usage (quota) — Oversized payload</t>
        </is>
      </c>
      <c r="E168" s="37" t="inlineStr">
        <is>
          <t>Confirms 'check_and_record_usage (quota)' rejects the 'oversized payload' case at the boundary with a structured error, instead of crashing, hanging, or processing bad data. Validation gaps here cause corrupt data, leaks, or fraud depending on the endpoint.</t>
        </is>
      </c>
      <c r="F168" s="37" t="inlineStr">
        <is>
          <t>Ability to send crafted requests (proxy/API client) with a valid and invalid session.</t>
        </is>
      </c>
      <c r="G168" s="37" t="inlineStr">
        <is>
          <t>1) Against 'check_and_record_usage (quota)', send an oversized/deeply-nested payload. 2) Observe the response and any side effects.</t>
        </is>
      </c>
      <c r="H168" s="37" t="inlineStr">
        <is>
          <t>Returns a structured validation/authorisation error; no crash, no partial write, no data leak.</t>
        </is>
      </c>
      <c r="I168" s="37" t="inlineStr">
        <is>
          <t>Request/response capture</t>
        </is>
      </c>
      <c r="J168" s="43" t="inlineStr">
        <is>
          <t>NOT RUN</t>
        </is>
      </c>
      <c r="K168" s="37" t="inlineStr">
        <is>
          <t>Claude (pending env)</t>
        </is>
      </c>
      <c r="L168" s="37" t="n"/>
      <c r="M168" s="37" t="n"/>
      <c r="N168" s="37" t="inlineStr">
        <is>
          <t>[T4 | Phase 4 | Claude (pending env)] Playwright/authenticated-API against running env. awaiting running staging URL + test accounts</t>
        </is>
      </c>
    </row>
    <row r="169" ht="53.7" customHeight="1" s="29">
      <c r="A169" s="36" t="inlineStr">
        <is>
          <t>MX-INPUT-0167</t>
        </is>
      </c>
      <c r="B169" s="54" t="inlineStr">
        <is>
          <t>P1</t>
        </is>
      </c>
      <c r="C169" s="36" t="inlineStr">
        <is>
          <t>Backend/Validation</t>
        </is>
      </c>
      <c r="D169" s="36" t="inlineStr">
        <is>
          <t>check_and_record_usage (quota) — Injection attempt</t>
        </is>
      </c>
      <c r="E169" s="36" t="inlineStr">
        <is>
          <t>Confirms 'check_and_record_usage (quota)' rejects the 'injection attempt' case at the boundary with a structured error, instead of crashing, hanging, or processing bad data. Validation gaps here cause corrupt data, leaks, or fraud depending on the endpoint.</t>
        </is>
      </c>
      <c r="F169" s="36" t="inlineStr">
        <is>
          <t>Ability to send crafted requests (proxy/API client) with a valid and invalid session.</t>
        </is>
      </c>
      <c r="G169" s="36" t="inlineStr">
        <is>
          <t>1) Against 'check_and_record_usage (quota)', send SQL/script metacharacters in string fields. 2) Observe the response and any side effects.</t>
        </is>
      </c>
      <c r="H169" s="36" t="inlineStr">
        <is>
          <t>Returns a structured validation/authorisation error; no crash, no partial write, no data leak.</t>
        </is>
      </c>
      <c r="I169" s="36" t="inlineStr">
        <is>
          <t>Request/response capture</t>
        </is>
      </c>
      <c r="J169" s="41" t="inlineStr">
        <is>
          <t>NOT RUN</t>
        </is>
      </c>
      <c r="K169" s="36" t="inlineStr">
        <is>
          <t>Claude (pending env)</t>
        </is>
      </c>
      <c r="L169" s="36" t="n"/>
      <c r="M169" s="36" t="n"/>
      <c r="N169" s="36" t="inlineStr">
        <is>
          <t>[T4 | Phase 4 | Claude (pending env)] Playwright/authenticated-API against running env. awaiting running staging URL + test accounts</t>
        </is>
      </c>
    </row>
    <row r="170" ht="53.7" customHeight="1" s="29">
      <c r="A170" s="37" t="inlineStr">
        <is>
          <t>MX-INPUT-0168</t>
        </is>
      </c>
      <c r="B170" s="54" t="inlineStr">
        <is>
          <t>P1</t>
        </is>
      </c>
      <c r="C170" s="37" t="inlineStr">
        <is>
          <t>Backend/Validation</t>
        </is>
      </c>
      <c r="D170" s="37" t="inlineStr">
        <is>
          <t>check_and_record_usage (quota) — Unauthorised caller</t>
        </is>
      </c>
      <c r="E170" s="37" t="inlineStr">
        <is>
          <t>Confirms 'check_and_record_usage (quota)' rejects the 'unauthorised caller' case at the boundary with a structured error, instead of crashing, hanging, or processing bad data. Validation gaps here cause corrupt data, leaks, or fraud depending on the endpoint.</t>
        </is>
      </c>
      <c r="F170" s="37" t="inlineStr">
        <is>
          <t>Ability to send crafted requests (proxy/API client) with a valid and invalid session.</t>
        </is>
      </c>
      <c r="G170" s="37" t="inlineStr">
        <is>
          <t>1) Against 'check_and_record_usage (quota)', call without a valid session / as the wrong role. 2) Observe the response and any side effects.</t>
        </is>
      </c>
      <c r="H170" s="37" t="inlineStr">
        <is>
          <t>Returns a structured validation/authorisation error; no crash, no partial write, no data leak.</t>
        </is>
      </c>
      <c r="I170" s="37" t="inlineStr">
        <is>
          <t>Request/response capture</t>
        </is>
      </c>
      <c r="J170" s="43" t="inlineStr">
        <is>
          <t>NOT RUN</t>
        </is>
      </c>
      <c r="K170" s="37" t="inlineStr">
        <is>
          <t>Claude (pending env)</t>
        </is>
      </c>
      <c r="L170" s="37" t="n"/>
      <c r="M170" s="37" t="n"/>
      <c r="N170" s="37" t="inlineStr">
        <is>
          <t>[T4 | Phase 4 | Claude (pending env)] Playwright/authenticated-API against running env. awaiting running staging URL + test accounts</t>
        </is>
      </c>
    </row>
  </sheetData>
  <autoFilter ref="A2:N170"/>
  <mergeCells count="1">
    <mergeCell ref="A1:N1"/>
  </mergeCells>
  <conditionalFormatting sqref="J3:J170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170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N7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25 · Matrix — Device &amp; Browser (Screen × Device)   —   77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43.25" customHeight="1" s="29">
      <c r="A3" s="36" t="inlineStr">
        <is>
          <t>MX-DEVICE-0001</t>
        </is>
      </c>
      <c r="B3" s="54" t="inlineStr">
        <is>
          <t>P1</t>
        </is>
      </c>
      <c r="C3" s="36" t="inlineStr">
        <is>
          <t>Frontend</t>
        </is>
      </c>
      <c r="D3" s="36" t="inlineStr">
        <is>
          <t>Signup/Onboarding on Low-end Android (Chrome)</t>
        </is>
      </c>
      <c r="E3" s="36" t="inlineStr">
        <is>
          <t>Confirms 'Signup/Onboarding' works on 'Low-end Android (Chrome)'. Indian students often use low-end and shared devices on weak networks; a screen that only works on a fast desktop excludes much of the market and breaks demos.</t>
        </is>
      </c>
      <c r="F3" s="36" t="inlineStr">
        <is>
          <t>Low-end Android (Chrome) (or an accurate emulator) with a throttled connection option.</t>
        </is>
      </c>
      <c r="G3" s="36" t="inlineStr">
        <is>
          <t>1) Open 'Signup/Onboarding' on Low-end Android (Chrome). 2) Exercise its primary action. 3) Check layout, tap targets, Hindi rendering, and load behavior on a throttled network.</t>
        </is>
      </c>
      <c r="H3" s="36" t="inlineStr">
        <is>
          <t>'Signup/Onboarding' is usable on Low-end Android (Chrome): no broken layout, no unusable tap targets, readable text (incl. Hindi), acceptable load.</t>
        </is>
      </c>
      <c r="I3" s="36" t="inlineStr">
        <is>
          <t>Screenshot/recording on Low-end Android (Chrome)</t>
        </is>
      </c>
      <c r="J3" s="41" t="inlineStr">
        <is>
          <t>NOT RUN</t>
        </is>
      </c>
      <c r="K3" s="36" t="inlineStr">
        <is>
          <t>Claude (pending env)</t>
        </is>
      </c>
      <c r="L3" s="36" t="n"/>
      <c r="M3" s="36" t="n"/>
      <c r="N3" s="36" t="inlineStr">
        <is>
          <t>[T4 | Phase 4 | Claude (pending env)] Playwright/authenticated-API against running env. awaiting running staging URL + test accounts</t>
        </is>
      </c>
    </row>
    <row r="4" ht="43.25" customHeight="1" s="29">
      <c r="A4" s="37" t="inlineStr">
        <is>
          <t>MX-DEVICE-0002</t>
        </is>
      </c>
      <c r="B4" s="54" t="inlineStr">
        <is>
          <t>P1</t>
        </is>
      </c>
      <c r="C4" s="37" t="inlineStr">
        <is>
          <t>Frontend</t>
        </is>
      </c>
      <c r="D4" s="37" t="inlineStr">
        <is>
          <t>Signup/Onboarding on Mid Android (Chrome)</t>
        </is>
      </c>
      <c r="E4" s="37" t="inlineStr">
        <is>
          <t>Confirms 'Signup/Onboarding' works on 'Mid Android (Chrome)'. Indian students often use low-end and shared devices on weak networks; a screen that only works on a fast desktop excludes much of the market and breaks demos.</t>
        </is>
      </c>
      <c r="F4" s="37" t="inlineStr">
        <is>
          <t>Mid Android (Chrome) (or an accurate emulator) with a throttled connection option.</t>
        </is>
      </c>
      <c r="G4" s="37" t="inlineStr">
        <is>
          <t>1) Open 'Signup/Onboarding' on Mid Android (Chrome). 2) Exercise its primary action. 3) Check layout, tap targets, Hindi rendering, and load behavior on a throttled network.</t>
        </is>
      </c>
      <c r="H4" s="37" t="inlineStr">
        <is>
          <t>'Signup/Onboarding' is usable on Mid Android (Chrome): no broken layout, no unusable tap targets, readable text (incl. Hindi), acceptable load.</t>
        </is>
      </c>
      <c r="I4" s="37" t="inlineStr">
        <is>
          <t>Screenshot/recording on Mid Android (Chrome)</t>
        </is>
      </c>
      <c r="J4" s="43" t="inlineStr">
        <is>
          <t>NOT RUN</t>
        </is>
      </c>
      <c r="K4" s="37" t="inlineStr">
        <is>
          <t>Claude (pending env)</t>
        </is>
      </c>
      <c r="L4" s="37" t="n"/>
      <c r="M4" s="37" t="n"/>
      <c r="N4" s="37" t="inlineStr">
        <is>
          <t>[T4 | Phase 4 | Claude (pending env)] Playwright/authenticated-API against running env. awaiting running staging URL + test accounts</t>
        </is>
      </c>
    </row>
    <row r="5" ht="43.25" customHeight="1" s="29">
      <c r="A5" s="36" t="inlineStr">
        <is>
          <t>MX-DEVICE-0003</t>
        </is>
      </c>
      <c r="B5" s="54" t="inlineStr">
        <is>
          <t>P1</t>
        </is>
      </c>
      <c r="C5" s="36" t="inlineStr">
        <is>
          <t>Frontend</t>
        </is>
      </c>
      <c r="D5" s="36" t="inlineStr">
        <is>
          <t>Signup/Onboarding on Older Android (WebView)</t>
        </is>
      </c>
      <c r="E5" s="36" t="inlineStr">
        <is>
          <t>Confirms 'Signup/Onboarding' works on 'Older Android (WebView)'. Indian students often use low-end and shared devices on weak networks; a screen that only works on a fast desktop excludes much of the market and breaks demos.</t>
        </is>
      </c>
      <c r="F5" s="36" t="inlineStr">
        <is>
          <t>Older Android (WebView) (or an accurate emulator) with a throttled connection option.</t>
        </is>
      </c>
      <c r="G5" s="36" t="inlineStr">
        <is>
          <t>1) Open 'Signup/Onboarding' on Older Android (WebView). 2) Exercise its primary action. 3) Check layout, tap targets, Hindi rendering, and load behavior on a throttled network.</t>
        </is>
      </c>
      <c r="H5" s="36" t="inlineStr">
        <is>
          <t>'Signup/Onboarding' is usable on Older Android (WebView): no broken layout, no unusable tap targets, readable text (incl. Hindi), acceptable load.</t>
        </is>
      </c>
      <c r="I5" s="36" t="inlineStr">
        <is>
          <t>Screenshot/recording on Older Android (WebView)</t>
        </is>
      </c>
      <c r="J5" s="41" t="inlineStr">
        <is>
          <t>NOT RUN</t>
        </is>
      </c>
      <c r="K5" s="36" t="inlineStr">
        <is>
          <t>Claude (pending env)</t>
        </is>
      </c>
      <c r="L5" s="36" t="n"/>
      <c r="M5" s="36" t="n"/>
      <c r="N5" s="36" t="inlineStr">
        <is>
          <t>[T4 | Phase 4 | Claude (pending env)] Playwright/authenticated-API against running env. awaiting running staging URL + test accounts</t>
        </is>
      </c>
    </row>
    <row r="6" ht="43.25" customHeight="1" s="29">
      <c r="A6" s="37" t="inlineStr">
        <is>
          <t>MX-DEVICE-0004</t>
        </is>
      </c>
      <c r="B6" s="54" t="inlineStr">
        <is>
          <t>P1</t>
        </is>
      </c>
      <c r="C6" s="37" t="inlineStr">
        <is>
          <t>Frontend</t>
        </is>
      </c>
      <c r="D6" s="37" t="inlineStr">
        <is>
          <t>Signup/Onboarding on iOS Safari</t>
        </is>
      </c>
      <c r="E6" s="37" t="inlineStr">
        <is>
          <t>Confirms 'Signup/Onboarding' works on 'iOS Safari'. Indian students often use low-end and shared devices on weak networks; a screen that only works on a fast desktop excludes much of the market and breaks demos.</t>
        </is>
      </c>
      <c r="F6" s="37" t="inlineStr">
        <is>
          <t>iOS Safari (or an accurate emulator) with a throttled connection option.</t>
        </is>
      </c>
      <c r="G6" s="37" t="inlineStr">
        <is>
          <t>1) Open 'Signup/Onboarding' on iOS Safari. 2) Exercise its primary action. 3) Check layout, tap targets, Hindi rendering, and load behavior on a throttled network.</t>
        </is>
      </c>
      <c r="H6" s="37" t="inlineStr">
        <is>
          <t>'Signup/Onboarding' is usable on iOS Safari: no broken layout, no unusable tap targets, readable text (incl. Hindi), acceptable load.</t>
        </is>
      </c>
      <c r="I6" s="37" t="inlineStr">
        <is>
          <t>Screenshot/recording on iOS Safari</t>
        </is>
      </c>
      <c r="J6" s="43" t="inlineStr">
        <is>
          <t>NOT RUN</t>
        </is>
      </c>
      <c r="K6" s="37" t="inlineStr">
        <is>
          <t>Claude (pending env)</t>
        </is>
      </c>
      <c r="L6" s="37" t="n"/>
      <c r="M6" s="37" t="n"/>
      <c r="N6" s="37" t="inlineStr">
        <is>
          <t>[T4 | Phase 4 | Claude (pending env)] Playwright/authenticated-API against running env. awaiting running staging URL + test accounts</t>
        </is>
      </c>
    </row>
    <row r="7" ht="43.25" customHeight="1" s="29">
      <c r="A7" s="36" t="inlineStr">
        <is>
          <t>MX-DEVICE-0005</t>
        </is>
      </c>
      <c r="B7" s="54" t="inlineStr">
        <is>
          <t>P1</t>
        </is>
      </c>
      <c r="C7" s="36" t="inlineStr">
        <is>
          <t>Frontend</t>
        </is>
      </c>
      <c r="D7" s="36" t="inlineStr">
        <is>
          <t>Signup/Onboarding on Desktop Chrome</t>
        </is>
      </c>
      <c r="E7" s="36" t="inlineStr">
        <is>
          <t>Confirms 'Signup/Onboarding' works on 'Desktop Chrome'. Indian students often use low-end and shared devices on weak networks; a screen that only works on a fast desktop excludes much of the market and breaks demos.</t>
        </is>
      </c>
      <c r="F7" s="36" t="inlineStr">
        <is>
          <t>Desktop Chrome (or an accurate emulator) with a throttled connection option.</t>
        </is>
      </c>
      <c r="G7" s="36" t="inlineStr">
        <is>
          <t>1) Open 'Signup/Onboarding' on Desktop Chrome. 2) Exercise its primary action. 3) Check layout, tap targets, Hindi rendering, and load behavior on a throttled network.</t>
        </is>
      </c>
      <c r="H7" s="36" t="inlineStr">
        <is>
          <t>'Signup/Onboarding' is usable on Desktop Chrome: no broken layout, no unusable tap targets, readable text (incl. Hindi), acceptable load.</t>
        </is>
      </c>
      <c r="I7" s="36" t="inlineStr">
        <is>
          <t>Screenshot/recording on Desktop Chrome</t>
        </is>
      </c>
      <c r="J7" s="41" t="inlineStr">
        <is>
          <t>NOT RUN</t>
        </is>
      </c>
      <c r="K7" s="36" t="inlineStr">
        <is>
          <t>Claude (pending env)</t>
        </is>
      </c>
      <c r="L7" s="36" t="n"/>
      <c r="M7" s="36" t="n"/>
      <c r="N7" s="36" t="inlineStr">
        <is>
          <t>[T4 | Phase 4 | Claude (pending env)] Playwright/authenticated-API against running env. awaiting running staging URL + test accounts</t>
        </is>
      </c>
    </row>
    <row r="8" ht="43.25" customHeight="1" s="29">
      <c r="A8" s="37" t="inlineStr">
        <is>
          <t>MX-DEVICE-0006</t>
        </is>
      </c>
      <c r="B8" s="54" t="inlineStr">
        <is>
          <t>P1</t>
        </is>
      </c>
      <c r="C8" s="37" t="inlineStr">
        <is>
          <t>Frontend</t>
        </is>
      </c>
      <c r="D8" s="37" t="inlineStr">
        <is>
          <t>Signup/Onboarding on Desktop Safari</t>
        </is>
      </c>
      <c r="E8" s="37" t="inlineStr">
        <is>
          <t>Confirms 'Signup/Onboarding' works on 'Desktop Safari'. Indian students often use low-end and shared devices on weak networks; a screen that only works on a fast desktop excludes much of the market and breaks demos.</t>
        </is>
      </c>
      <c r="F8" s="37" t="inlineStr">
        <is>
          <t>Desktop Safari (or an accurate emulator) with a throttled connection option.</t>
        </is>
      </c>
      <c r="G8" s="37" t="inlineStr">
        <is>
          <t>1) Open 'Signup/Onboarding' on Desktop Safari. 2) Exercise its primary action. 3) Check layout, tap targets, Hindi rendering, and load behavior on a throttled network.</t>
        </is>
      </c>
      <c r="H8" s="37" t="inlineStr">
        <is>
          <t>'Signup/Onboarding' is usable on Desktop Safari: no broken layout, no unusable tap targets, readable text (incl. Hindi), acceptable load.</t>
        </is>
      </c>
      <c r="I8" s="37" t="inlineStr">
        <is>
          <t>Screenshot/recording on Desktop Safari</t>
        </is>
      </c>
      <c r="J8" s="43" t="inlineStr">
        <is>
          <t>NOT RUN</t>
        </is>
      </c>
      <c r="K8" s="37" t="inlineStr">
        <is>
          <t>Claude (pending env)</t>
        </is>
      </c>
      <c r="L8" s="37" t="n"/>
      <c r="M8" s="37" t="n"/>
      <c r="N8" s="37" t="inlineStr">
        <is>
          <t>[T4 | Phase 4 | Claude (pending env)] Playwright/authenticated-API against running env. awaiting running staging URL + test accounts</t>
        </is>
      </c>
    </row>
    <row r="9" ht="43.25" customHeight="1" s="29">
      <c r="A9" s="36" t="inlineStr">
        <is>
          <t>MX-DEVICE-0007</t>
        </is>
      </c>
      <c r="B9" s="54" t="inlineStr">
        <is>
          <t>P1</t>
        </is>
      </c>
      <c r="C9" s="36" t="inlineStr">
        <is>
          <t>Frontend</t>
        </is>
      </c>
      <c r="D9" s="36" t="inlineStr">
        <is>
          <t>Signup/Onboarding on Tablet (shared-device)</t>
        </is>
      </c>
      <c r="E9" s="36" t="inlineStr">
        <is>
          <t>Confirms 'Signup/Onboarding' works on 'Tablet (shared-device)'. Indian students often use low-end and shared devices on weak networks; a screen that only works on a fast desktop excludes much of the market and breaks demos.</t>
        </is>
      </c>
      <c r="F9" s="36" t="inlineStr">
        <is>
          <t>Tablet (shared-device) (or an accurate emulator) with a throttled connection option.</t>
        </is>
      </c>
      <c r="G9" s="36" t="inlineStr">
        <is>
          <t>1) Open 'Signup/Onboarding' on Tablet (shared-device). 2) Exercise its primary action. 3) Check layout, tap targets, Hindi rendering, and load behavior on a throttled network.</t>
        </is>
      </c>
      <c r="H9" s="36" t="inlineStr">
        <is>
          <t>'Signup/Onboarding' is usable on Tablet (shared-device): no broken layout, no unusable tap targets, readable text (incl. Hindi), acceptable load.</t>
        </is>
      </c>
      <c r="I9" s="36" t="inlineStr">
        <is>
          <t>Screenshot/recording on Tablet (shared-device)</t>
        </is>
      </c>
      <c r="J9" s="41" t="inlineStr">
        <is>
          <t>NOT RUN</t>
        </is>
      </c>
      <c r="K9" s="36" t="inlineStr">
        <is>
          <t>Claude (pending env)</t>
        </is>
      </c>
      <c r="L9" s="36" t="n"/>
      <c r="M9" s="36" t="n"/>
      <c r="N9" s="36" t="inlineStr">
        <is>
          <t>[T4 | Phase 4 | Claude (pending env)] Playwright/authenticated-API against running env. awaiting running staging URL + test accounts</t>
        </is>
      </c>
    </row>
    <row r="10" ht="43.25" customHeight="1" s="29">
      <c r="A10" s="37" t="inlineStr">
        <is>
          <t>MX-DEVICE-0008</t>
        </is>
      </c>
      <c r="B10" s="55" t="inlineStr">
        <is>
          <t>P2</t>
        </is>
      </c>
      <c r="C10" s="37" t="inlineStr">
        <is>
          <t>Frontend</t>
        </is>
      </c>
      <c r="D10" s="37" t="inlineStr">
        <is>
          <t>Login on Low-end Android (Chrome)</t>
        </is>
      </c>
      <c r="E10" s="37" t="inlineStr">
        <is>
          <t>Confirms 'Login' works on 'Low-end Android (Chrome)'. Indian students often use low-end and shared devices on weak networks; a screen that only works on a fast desktop excludes much of the market and breaks demos.</t>
        </is>
      </c>
      <c r="F10" s="37" t="inlineStr">
        <is>
          <t>Low-end Android (Chrome) (or an accurate emulator) with a throttled connection option.</t>
        </is>
      </c>
      <c r="G10" s="37" t="inlineStr">
        <is>
          <t>1) Open 'Login' on Low-end Android (Chrome). 2) Exercise its primary action. 3) Check layout, tap targets, Hindi rendering, and load behavior on a throttled network.</t>
        </is>
      </c>
      <c r="H10" s="37" t="inlineStr">
        <is>
          <t>'Login' is usable on Low-end Android (Chrome): no broken layout, no unusable tap targets, readable text (incl. Hindi), acceptable load.</t>
        </is>
      </c>
      <c r="I10" s="37" t="inlineStr">
        <is>
          <t>Screenshot/recording on Low-end Android (Chrome)</t>
        </is>
      </c>
      <c r="J10" s="43" t="inlineStr">
        <is>
          <t>NOT RUN</t>
        </is>
      </c>
      <c r="K10" s="37" t="inlineStr">
        <is>
          <t>Claude (pending env)</t>
        </is>
      </c>
      <c r="L10" s="37" t="n"/>
      <c r="M10" s="37" t="n"/>
      <c r="N10" s="37" t="inlineStr">
        <is>
          <t>[T4 | Phase 4 | Claude (pending env)] Playwright/authenticated-API against running env. awaiting running staging URL + test accounts</t>
        </is>
      </c>
    </row>
    <row r="11" ht="43.25" customHeight="1" s="29">
      <c r="A11" s="36" t="inlineStr">
        <is>
          <t>MX-DEVICE-0009</t>
        </is>
      </c>
      <c r="B11" s="55" t="inlineStr">
        <is>
          <t>P2</t>
        </is>
      </c>
      <c r="C11" s="36" t="inlineStr">
        <is>
          <t>Frontend</t>
        </is>
      </c>
      <c r="D11" s="36" t="inlineStr">
        <is>
          <t>Login on Mid Android (Chrome)</t>
        </is>
      </c>
      <c r="E11" s="36" t="inlineStr">
        <is>
          <t>Confirms 'Login' works on 'Mid Android (Chrome)'. Indian students often use low-end and shared devices on weak networks; a screen that only works on a fast desktop excludes much of the market and breaks demos.</t>
        </is>
      </c>
      <c r="F11" s="36" t="inlineStr">
        <is>
          <t>Mid Android (Chrome) (or an accurate emulator) with a throttled connection option.</t>
        </is>
      </c>
      <c r="G11" s="36" t="inlineStr">
        <is>
          <t>1) Open 'Login' on Mid Android (Chrome). 2) Exercise its primary action. 3) Check layout, tap targets, Hindi rendering, and load behavior on a throttled network.</t>
        </is>
      </c>
      <c r="H11" s="36" t="inlineStr">
        <is>
          <t>'Login' is usable on Mid Android (Chrome): no broken layout, no unusable tap targets, readable text (incl. Hindi), acceptable load.</t>
        </is>
      </c>
      <c r="I11" s="36" t="inlineStr">
        <is>
          <t>Screenshot/recording on Mid Android (Chrome)</t>
        </is>
      </c>
      <c r="J11" s="41" t="inlineStr">
        <is>
          <t>NOT RUN</t>
        </is>
      </c>
      <c r="K11" s="36" t="inlineStr">
        <is>
          <t>Claude (pending env)</t>
        </is>
      </c>
      <c r="L11" s="36" t="n"/>
      <c r="M11" s="36" t="n"/>
      <c r="N11" s="36" t="inlineStr">
        <is>
          <t>[T4 | Phase 4 | Claude (pending env)] Playwright/authenticated-API against running env. awaiting running staging URL + test accounts</t>
        </is>
      </c>
    </row>
    <row r="12" ht="43.25" customHeight="1" s="29">
      <c r="A12" s="37" t="inlineStr">
        <is>
          <t>MX-DEVICE-0010</t>
        </is>
      </c>
      <c r="B12" s="55" t="inlineStr">
        <is>
          <t>P2</t>
        </is>
      </c>
      <c r="C12" s="37" t="inlineStr">
        <is>
          <t>Frontend</t>
        </is>
      </c>
      <c r="D12" s="37" t="inlineStr">
        <is>
          <t>Login on Older Android (WebView)</t>
        </is>
      </c>
      <c r="E12" s="37" t="inlineStr">
        <is>
          <t>Confirms 'Login' works on 'Older Android (WebView)'. Indian students often use low-end and shared devices on weak networks; a screen that only works on a fast desktop excludes much of the market and breaks demos.</t>
        </is>
      </c>
      <c r="F12" s="37" t="inlineStr">
        <is>
          <t>Older Android (WebView) (or an accurate emulator) with a throttled connection option.</t>
        </is>
      </c>
      <c r="G12" s="37" t="inlineStr">
        <is>
          <t>1) Open 'Login' on Older Android (WebView). 2) Exercise its primary action. 3) Check layout, tap targets, Hindi rendering, and load behavior on a throttled network.</t>
        </is>
      </c>
      <c r="H12" s="37" t="inlineStr">
        <is>
          <t>'Login' is usable on Older Android (WebView): no broken layout, no unusable tap targets, readable text (incl. Hindi), acceptable load.</t>
        </is>
      </c>
      <c r="I12" s="37" t="inlineStr">
        <is>
          <t>Screenshot/recording on Older Android (WebView)</t>
        </is>
      </c>
      <c r="J12" s="43" t="inlineStr">
        <is>
          <t>NOT RUN</t>
        </is>
      </c>
      <c r="K12" s="37" t="inlineStr">
        <is>
          <t>Claude (pending env)</t>
        </is>
      </c>
      <c r="L12" s="37" t="n"/>
      <c r="M12" s="37" t="n"/>
      <c r="N12" s="37" t="inlineStr">
        <is>
          <t>[T4 | Phase 4 | Claude (pending env)] Playwright/authenticated-API against running env. awaiting running staging URL + test accounts</t>
        </is>
      </c>
    </row>
    <row r="13" ht="43.25" customHeight="1" s="29">
      <c r="A13" s="36" t="inlineStr">
        <is>
          <t>MX-DEVICE-0011</t>
        </is>
      </c>
      <c r="B13" s="55" t="inlineStr">
        <is>
          <t>P2</t>
        </is>
      </c>
      <c r="C13" s="36" t="inlineStr">
        <is>
          <t>Frontend</t>
        </is>
      </c>
      <c r="D13" s="36" t="inlineStr">
        <is>
          <t>Login on iOS Safari</t>
        </is>
      </c>
      <c r="E13" s="36" t="inlineStr">
        <is>
          <t>Confirms 'Login' works on 'iOS Safari'. Indian students often use low-end and shared devices on weak networks; a screen that only works on a fast desktop excludes much of the market and breaks demos.</t>
        </is>
      </c>
      <c r="F13" s="36" t="inlineStr">
        <is>
          <t>iOS Safari (or an accurate emulator) with a throttled connection option.</t>
        </is>
      </c>
      <c r="G13" s="36" t="inlineStr">
        <is>
          <t>1) Open 'Login' on iOS Safari. 2) Exercise its primary action. 3) Check layout, tap targets, Hindi rendering, and load behavior on a throttled network.</t>
        </is>
      </c>
      <c r="H13" s="36" t="inlineStr">
        <is>
          <t>'Login' is usable on iOS Safari: no broken layout, no unusable tap targets, readable text (incl. Hindi), acceptable load.</t>
        </is>
      </c>
      <c r="I13" s="36" t="inlineStr">
        <is>
          <t>Screenshot/recording on iOS Safari</t>
        </is>
      </c>
      <c r="J13" s="41" t="inlineStr">
        <is>
          <t>NOT RUN</t>
        </is>
      </c>
      <c r="K13" s="36" t="inlineStr">
        <is>
          <t>Claude (pending env)</t>
        </is>
      </c>
      <c r="L13" s="36" t="n"/>
      <c r="M13" s="36" t="n"/>
      <c r="N13" s="36" t="inlineStr">
        <is>
          <t>[T4 | Phase 4 | Claude (pending env)] Playwright/authenticated-API against running env. awaiting running staging URL + test accounts</t>
        </is>
      </c>
    </row>
    <row r="14" ht="43.25" customHeight="1" s="29">
      <c r="A14" s="37" t="inlineStr">
        <is>
          <t>MX-DEVICE-0012</t>
        </is>
      </c>
      <c r="B14" s="55" t="inlineStr">
        <is>
          <t>P2</t>
        </is>
      </c>
      <c r="C14" s="37" t="inlineStr">
        <is>
          <t>Frontend</t>
        </is>
      </c>
      <c r="D14" s="37" t="inlineStr">
        <is>
          <t>Login on Desktop Chrome</t>
        </is>
      </c>
      <c r="E14" s="37" t="inlineStr">
        <is>
          <t>Confirms 'Login' works on 'Desktop Chrome'. Indian students often use low-end and shared devices on weak networks; a screen that only works on a fast desktop excludes much of the market and breaks demos.</t>
        </is>
      </c>
      <c r="F14" s="37" t="inlineStr">
        <is>
          <t>Desktop Chrome (or an accurate emulator) with a throttled connection option.</t>
        </is>
      </c>
      <c r="G14" s="37" t="inlineStr">
        <is>
          <t>1) Open 'Login' on Desktop Chrome. 2) Exercise its primary action. 3) Check layout, tap targets, Hindi rendering, and load behavior on a throttled network.</t>
        </is>
      </c>
      <c r="H14" s="37" t="inlineStr">
        <is>
          <t>'Login' is usable on Desktop Chrome: no broken layout, no unusable tap targets, readable text (incl. Hindi), acceptable load.</t>
        </is>
      </c>
      <c r="I14" s="37" t="inlineStr">
        <is>
          <t>Screenshot/recording on Desktop Chrome</t>
        </is>
      </c>
      <c r="J14" s="43" t="inlineStr">
        <is>
          <t>NOT RUN</t>
        </is>
      </c>
      <c r="K14" s="37" t="inlineStr">
        <is>
          <t>Claude (pending env)</t>
        </is>
      </c>
      <c r="L14" s="37" t="n"/>
      <c r="M14" s="37" t="n"/>
      <c r="N14" s="37" t="inlineStr">
        <is>
          <t>[T4 | Phase 4 | Claude (pending env)] Playwright/authenticated-API against running env. awaiting running staging URL + test accounts</t>
        </is>
      </c>
    </row>
    <row r="15" ht="43.25" customHeight="1" s="29">
      <c r="A15" s="36" t="inlineStr">
        <is>
          <t>MX-DEVICE-0013</t>
        </is>
      </c>
      <c r="B15" s="55" t="inlineStr">
        <is>
          <t>P2</t>
        </is>
      </c>
      <c r="C15" s="36" t="inlineStr">
        <is>
          <t>Frontend</t>
        </is>
      </c>
      <c r="D15" s="36" t="inlineStr">
        <is>
          <t>Login on Desktop Safari</t>
        </is>
      </c>
      <c r="E15" s="36" t="inlineStr">
        <is>
          <t>Confirms 'Login' works on 'Desktop Safari'. Indian students often use low-end and shared devices on weak networks; a screen that only works on a fast desktop excludes much of the market and breaks demos.</t>
        </is>
      </c>
      <c r="F15" s="36" t="inlineStr">
        <is>
          <t>Desktop Safari (or an accurate emulator) with a throttled connection option.</t>
        </is>
      </c>
      <c r="G15" s="36" t="inlineStr">
        <is>
          <t>1) Open 'Login' on Desktop Safari. 2) Exercise its primary action. 3) Check layout, tap targets, Hindi rendering, and load behavior on a throttled network.</t>
        </is>
      </c>
      <c r="H15" s="36" t="inlineStr">
        <is>
          <t>'Login' is usable on Desktop Safari: no broken layout, no unusable tap targets, readable text (incl. Hindi), acceptable load.</t>
        </is>
      </c>
      <c r="I15" s="36" t="inlineStr">
        <is>
          <t>Screenshot/recording on Desktop Safari</t>
        </is>
      </c>
      <c r="J15" s="41" t="inlineStr">
        <is>
          <t>NOT RUN</t>
        </is>
      </c>
      <c r="K15" s="36" t="inlineStr">
        <is>
          <t>Claude (pending env)</t>
        </is>
      </c>
      <c r="L15" s="36" t="n"/>
      <c r="M15" s="36" t="n"/>
      <c r="N15" s="36" t="inlineStr">
        <is>
          <t>[T4 | Phase 4 | Claude (pending env)] Playwright/authenticated-API against running env. awaiting running staging URL + test accounts</t>
        </is>
      </c>
    </row>
    <row r="16" ht="43.25" customHeight="1" s="29">
      <c r="A16" s="37" t="inlineStr">
        <is>
          <t>MX-DEVICE-0014</t>
        </is>
      </c>
      <c r="B16" s="55" t="inlineStr">
        <is>
          <t>P2</t>
        </is>
      </c>
      <c r="C16" s="37" t="inlineStr">
        <is>
          <t>Frontend</t>
        </is>
      </c>
      <c r="D16" s="37" t="inlineStr">
        <is>
          <t>Login on Tablet (shared-device)</t>
        </is>
      </c>
      <c r="E16" s="37" t="inlineStr">
        <is>
          <t>Confirms 'Login' works on 'Tablet (shared-device)'. Indian students often use low-end and shared devices on weak networks; a screen that only works on a fast desktop excludes much of the market and breaks demos.</t>
        </is>
      </c>
      <c r="F16" s="37" t="inlineStr">
        <is>
          <t>Tablet (shared-device) (or an accurate emulator) with a throttled connection option.</t>
        </is>
      </c>
      <c r="G16" s="37" t="inlineStr">
        <is>
          <t>1) Open 'Login' on Tablet (shared-device). 2) Exercise its primary action. 3) Check layout, tap targets, Hindi rendering, and load behavior on a throttled network.</t>
        </is>
      </c>
      <c r="H16" s="37" t="inlineStr">
        <is>
          <t>'Login' is usable on Tablet (shared-device): no broken layout, no unusable tap targets, readable text (incl. Hindi), acceptable load.</t>
        </is>
      </c>
      <c r="I16" s="37" t="inlineStr">
        <is>
          <t>Screenshot/recording on Tablet (shared-device)</t>
        </is>
      </c>
      <c r="J16" s="43" t="inlineStr">
        <is>
          <t>NOT RUN</t>
        </is>
      </c>
      <c r="K16" s="37" t="inlineStr">
        <is>
          <t>Claude (pending env)</t>
        </is>
      </c>
      <c r="L16" s="37" t="n"/>
      <c r="M16" s="37" t="n"/>
      <c r="N16" s="37" t="inlineStr">
        <is>
          <t>[T4 | Phase 4 | Claude (pending env)] Playwright/authenticated-API against running env. awaiting running staging URL + test accounts</t>
        </is>
      </c>
    </row>
    <row r="17" ht="43.25" customHeight="1" s="29">
      <c r="A17" s="36" t="inlineStr">
        <is>
          <t>MX-DEVICE-0015</t>
        </is>
      </c>
      <c r="B17" s="55" t="inlineStr">
        <is>
          <t>P2</t>
        </is>
      </c>
      <c r="C17" s="36" t="inlineStr">
        <is>
          <t>Frontend</t>
        </is>
      </c>
      <c r="D17" s="36" t="inlineStr">
        <is>
          <t>Student Today/Dashboard on Low-end Android (Chrome)</t>
        </is>
      </c>
      <c r="E17" s="36" t="inlineStr">
        <is>
          <t>Confirms 'Student Today/Dashboard' works on 'Low-end Android (Chrome)'. Indian students often use low-end and shared devices on weak networks; a screen that only works on a fast desktop excludes much of the market and breaks demos.</t>
        </is>
      </c>
      <c r="F17" s="36" t="inlineStr">
        <is>
          <t>Low-end Android (Chrome) (or an accurate emulator) with a throttled connection option.</t>
        </is>
      </c>
      <c r="G17" s="36" t="inlineStr">
        <is>
          <t>1) Open 'Student Today/Dashboard' on Low-end Android (Chrome). 2) Exercise its primary action. 3) Check layout, tap targets, Hindi rendering, and load behavior on a throttled network.</t>
        </is>
      </c>
      <c r="H17" s="36" t="inlineStr">
        <is>
          <t>'Student Today/Dashboard' is usable on Low-end Android (Chrome): no broken layout, no unusable tap targets, readable text (incl. Hindi), acceptable load.</t>
        </is>
      </c>
      <c r="I17" s="36" t="inlineStr">
        <is>
          <t>Screenshot/recording on Low-end Android (Chrome)</t>
        </is>
      </c>
      <c r="J17" s="41" t="inlineStr">
        <is>
          <t>NOT RUN</t>
        </is>
      </c>
      <c r="K17" s="36" t="inlineStr">
        <is>
          <t>Claude (pending env)</t>
        </is>
      </c>
      <c r="L17" s="36" t="n"/>
      <c r="M17" s="36" t="n"/>
      <c r="N17" s="36" t="inlineStr">
        <is>
          <t>[T4 | Phase 4 | Claude (pending env)] Playwright/authenticated-API against running env. awaiting running staging URL + test accounts</t>
        </is>
      </c>
    </row>
    <row r="18" ht="43.25" customHeight="1" s="29">
      <c r="A18" s="37" t="inlineStr">
        <is>
          <t>MX-DEVICE-0016</t>
        </is>
      </c>
      <c r="B18" s="55" t="inlineStr">
        <is>
          <t>P2</t>
        </is>
      </c>
      <c r="C18" s="37" t="inlineStr">
        <is>
          <t>Frontend</t>
        </is>
      </c>
      <c r="D18" s="37" t="inlineStr">
        <is>
          <t>Student Today/Dashboard on Mid Android (Chrome)</t>
        </is>
      </c>
      <c r="E18" s="37" t="inlineStr">
        <is>
          <t>Confirms 'Student Today/Dashboard' works on 'Mid Android (Chrome)'. Indian students often use low-end and shared devices on weak networks; a screen that only works on a fast desktop excludes much of the market and breaks demos.</t>
        </is>
      </c>
      <c r="F18" s="37" t="inlineStr">
        <is>
          <t>Mid Android (Chrome) (or an accurate emulator) with a throttled connection option.</t>
        </is>
      </c>
      <c r="G18" s="37" t="inlineStr">
        <is>
          <t>1) Open 'Student Today/Dashboard' on Mid Android (Chrome). 2) Exercise its primary action. 3) Check layout, tap targets, Hindi rendering, and load behavior on a throttled network.</t>
        </is>
      </c>
      <c r="H18" s="37" t="inlineStr">
        <is>
          <t>'Student Today/Dashboard' is usable on Mid Android (Chrome): no broken layout, no unusable tap targets, readable text (incl. Hindi), acceptable load.</t>
        </is>
      </c>
      <c r="I18" s="37" t="inlineStr">
        <is>
          <t>Screenshot/recording on Mid Android (Chrome)</t>
        </is>
      </c>
      <c r="J18" s="43" t="inlineStr">
        <is>
          <t>NOT RUN</t>
        </is>
      </c>
      <c r="K18" s="37" t="inlineStr">
        <is>
          <t>Claude (pending env)</t>
        </is>
      </c>
      <c r="L18" s="37" t="n"/>
      <c r="M18" s="37" t="n"/>
      <c r="N18" s="37" t="inlineStr">
        <is>
          <t>[T4 | Phase 4 | Claude (pending env)] Playwright/authenticated-API against running env. awaiting running staging URL + test accounts</t>
        </is>
      </c>
    </row>
    <row r="19" ht="43.25" customHeight="1" s="29">
      <c r="A19" s="36" t="inlineStr">
        <is>
          <t>MX-DEVICE-0017</t>
        </is>
      </c>
      <c r="B19" s="55" t="inlineStr">
        <is>
          <t>P2</t>
        </is>
      </c>
      <c r="C19" s="36" t="inlineStr">
        <is>
          <t>Frontend</t>
        </is>
      </c>
      <c r="D19" s="36" t="inlineStr">
        <is>
          <t>Student Today/Dashboard on Older Android (WebView)</t>
        </is>
      </c>
      <c r="E19" s="36" t="inlineStr">
        <is>
          <t>Confirms 'Student Today/Dashboard' works on 'Older Android (WebView)'. Indian students often use low-end and shared devices on weak networks; a screen that only works on a fast desktop excludes much of the market and breaks demos.</t>
        </is>
      </c>
      <c r="F19" s="36" t="inlineStr">
        <is>
          <t>Older Android (WebView) (or an accurate emulator) with a throttled connection option.</t>
        </is>
      </c>
      <c r="G19" s="36" t="inlineStr">
        <is>
          <t>1) Open 'Student Today/Dashboard' on Older Android (WebView). 2) Exercise its primary action. 3) Check layout, tap targets, Hindi rendering, and load behavior on a throttled network.</t>
        </is>
      </c>
      <c r="H19" s="36" t="inlineStr">
        <is>
          <t>'Student Today/Dashboard' is usable on Older Android (WebView): no broken layout, no unusable tap targets, readable text (incl. Hindi), acceptable load.</t>
        </is>
      </c>
      <c r="I19" s="36" t="inlineStr">
        <is>
          <t>Screenshot/recording on Older Android (WebView)</t>
        </is>
      </c>
      <c r="J19" s="41" t="inlineStr">
        <is>
          <t>NOT RUN</t>
        </is>
      </c>
      <c r="K19" s="36" t="inlineStr">
        <is>
          <t>Claude (pending env)</t>
        </is>
      </c>
      <c r="L19" s="36" t="n"/>
      <c r="M19" s="36" t="n"/>
      <c r="N19" s="36" t="inlineStr">
        <is>
          <t>[T4 | Phase 4 | Claude (pending env)] Playwright/authenticated-API against running env. awaiting running staging URL + test accounts</t>
        </is>
      </c>
    </row>
    <row r="20" ht="43.25" customHeight="1" s="29">
      <c r="A20" s="37" t="inlineStr">
        <is>
          <t>MX-DEVICE-0018</t>
        </is>
      </c>
      <c r="B20" s="55" t="inlineStr">
        <is>
          <t>P2</t>
        </is>
      </c>
      <c r="C20" s="37" t="inlineStr">
        <is>
          <t>Frontend</t>
        </is>
      </c>
      <c r="D20" s="37" t="inlineStr">
        <is>
          <t>Student Today/Dashboard on iOS Safari</t>
        </is>
      </c>
      <c r="E20" s="37" t="inlineStr">
        <is>
          <t>Confirms 'Student Today/Dashboard' works on 'iOS Safari'. Indian students often use low-end and shared devices on weak networks; a screen that only works on a fast desktop excludes much of the market and breaks demos.</t>
        </is>
      </c>
      <c r="F20" s="37" t="inlineStr">
        <is>
          <t>iOS Safari (or an accurate emulator) with a throttled connection option.</t>
        </is>
      </c>
      <c r="G20" s="37" t="inlineStr">
        <is>
          <t>1) Open 'Student Today/Dashboard' on iOS Safari. 2) Exercise its primary action. 3) Check layout, tap targets, Hindi rendering, and load behavior on a throttled network.</t>
        </is>
      </c>
      <c r="H20" s="37" t="inlineStr">
        <is>
          <t>'Student Today/Dashboard' is usable on iOS Safari: no broken layout, no unusable tap targets, readable text (incl. Hindi), acceptable load.</t>
        </is>
      </c>
      <c r="I20" s="37" t="inlineStr">
        <is>
          <t>Screenshot/recording on iOS Safari</t>
        </is>
      </c>
      <c r="J20" s="43" t="inlineStr">
        <is>
          <t>NOT RUN</t>
        </is>
      </c>
      <c r="K20" s="37" t="inlineStr">
        <is>
          <t>Claude (pending env)</t>
        </is>
      </c>
      <c r="L20" s="37" t="n"/>
      <c r="M20" s="37" t="n"/>
      <c r="N20" s="37" t="inlineStr">
        <is>
          <t>[T4 | Phase 4 | Claude (pending env)] Playwright/authenticated-API against running env. awaiting running staging URL + test accounts</t>
        </is>
      </c>
    </row>
    <row r="21" ht="43.25" customHeight="1" s="29">
      <c r="A21" s="36" t="inlineStr">
        <is>
          <t>MX-DEVICE-0019</t>
        </is>
      </c>
      <c r="B21" s="55" t="inlineStr">
        <is>
          <t>P2</t>
        </is>
      </c>
      <c r="C21" s="36" t="inlineStr">
        <is>
          <t>Frontend</t>
        </is>
      </c>
      <c r="D21" s="36" t="inlineStr">
        <is>
          <t>Student Today/Dashboard on Desktop Chrome</t>
        </is>
      </c>
      <c r="E21" s="36" t="inlineStr">
        <is>
          <t>Confirms 'Student Today/Dashboard' works on 'Desktop Chrome'. Indian students often use low-end and shared devices on weak networks; a screen that only works on a fast desktop excludes much of the market and breaks demos.</t>
        </is>
      </c>
      <c r="F21" s="36" t="inlineStr">
        <is>
          <t>Desktop Chrome (or an accurate emulator) with a throttled connection option.</t>
        </is>
      </c>
      <c r="G21" s="36" t="inlineStr">
        <is>
          <t>1) Open 'Student Today/Dashboard' on Desktop Chrome. 2) Exercise its primary action. 3) Check layout, tap targets, Hindi rendering, and load behavior on a throttled network.</t>
        </is>
      </c>
      <c r="H21" s="36" t="inlineStr">
        <is>
          <t>'Student Today/Dashboard' is usable on Desktop Chrome: no broken layout, no unusable tap targets, readable text (incl. Hindi), acceptable load.</t>
        </is>
      </c>
      <c r="I21" s="36" t="inlineStr">
        <is>
          <t>Screenshot/recording on Desktop Chrome</t>
        </is>
      </c>
      <c r="J21" s="41" t="inlineStr">
        <is>
          <t>NOT RUN</t>
        </is>
      </c>
      <c r="K21" s="36" t="inlineStr">
        <is>
          <t>Claude (pending env)</t>
        </is>
      </c>
      <c r="L21" s="36" t="n"/>
      <c r="M21" s="36" t="n"/>
      <c r="N21" s="36" t="inlineStr">
        <is>
          <t>[T4 | Phase 4 | Claude (pending env)] Playwright/authenticated-API against running env. awaiting running staging URL + test accounts</t>
        </is>
      </c>
    </row>
    <row r="22" ht="43.25" customHeight="1" s="29">
      <c r="A22" s="37" t="inlineStr">
        <is>
          <t>MX-DEVICE-0020</t>
        </is>
      </c>
      <c r="B22" s="55" t="inlineStr">
        <is>
          <t>P2</t>
        </is>
      </c>
      <c r="C22" s="37" t="inlineStr">
        <is>
          <t>Frontend</t>
        </is>
      </c>
      <c r="D22" s="37" t="inlineStr">
        <is>
          <t>Student Today/Dashboard on Desktop Safari</t>
        </is>
      </c>
      <c r="E22" s="37" t="inlineStr">
        <is>
          <t>Confirms 'Student Today/Dashboard' works on 'Desktop Safari'. Indian students often use low-end and shared devices on weak networks; a screen that only works on a fast desktop excludes much of the market and breaks demos.</t>
        </is>
      </c>
      <c r="F22" s="37" t="inlineStr">
        <is>
          <t>Desktop Safari (or an accurate emulator) with a throttled connection option.</t>
        </is>
      </c>
      <c r="G22" s="37" t="inlineStr">
        <is>
          <t>1) Open 'Student Today/Dashboard' on Desktop Safari. 2) Exercise its primary action. 3) Check layout, tap targets, Hindi rendering, and load behavior on a throttled network.</t>
        </is>
      </c>
      <c r="H22" s="37" t="inlineStr">
        <is>
          <t>'Student Today/Dashboard' is usable on Desktop Safari: no broken layout, no unusable tap targets, readable text (incl. Hindi), acceptable load.</t>
        </is>
      </c>
      <c r="I22" s="37" t="inlineStr">
        <is>
          <t>Screenshot/recording on Desktop Safari</t>
        </is>
      </c>
      <c r="J22" s="43" t="inlineStr">
        <is>
          <t>NOT RUN</t>
        </is>
      </c>
      <c r="K22" s="37" t="inlineStr">
        <is>
          <t>Claude (pending env)</t>
        </is>
      </c>
      <c r="L22" s="37" t="n"/>
      <c r="M22" s="37" t="n"/>
      <c r="N22" s="37" t="inlineStr">
        <is>
          <t>[T4 | Phase 4 | Claude (pending env)] Playwright/authenticated-API against running env. awaiting running staging URL + test accounts</t>
        </is>
      </c>
    </row>
    <row r="23" ht="43.25" customHeight="1" s="29">
      <c r="A23" s="36" t="inlineStr">
        <is>
          <t>MX-DEVICE-0021</t>
        </is>
      </c>
      <c r="B23" s="55" t="inlineStr">
        <is>
          <t>P2</t>
        </is>
      </c>
      <c r="C23" s="36" t="inlineStr">
        <is>
          <t>Frontend</t>
        </is>
      </c>
      <c r="D23" s="36" t="inlineStr">
        <is>
          <t>Student Today/Dashboard on Tablet (shared-device)</t>
        </is>
      </c>
      <c r="E23" s="36" t="inlineStr">
        <is>
          <t>Confirms 'Student Today/Dashboard' works on 'Tablet (shared-device)'. Indian students often use low-end and shared devices on weak networks; a screen that only works on a fast desktop excludes much of the market and breaks demos.</t>
        </is>
      </c>
      <c r="F23" s="36" t="inlineStr">
        <is>
          <t>Tablet (shared-device) (or an accurate emulator) with a throttled connection option.</t>
        </is>
      </c>
      <c r="G23" s="36" t="inlineStr">
        <is>
          <t>1) Open 'Student Today/Dashboard' on Tablet (shared-device). 2) Exercise its primary action. 3) Check layout, tap targets, Hindi rendering, and load behavior on a throttled network.</t>
        </is>
      </c>
      <c r="H23" s="36" t="inlineStr">
        <is>
          <t>'Student Today/Dashboard' is usable on Tablet (shared-device): no broken layout, no unusable tap targets, readable text (incl. Hindi), acceptable load.</t>
        </is>
      </c>
      <c r="I23" s="36" t="inlineStr">
        <is>
          <t>Screenshot/recording on Tablet (shared-device)</t>
        </is>
      </c>
      <c r="J23" s="41" t="inlineStr">
        <is>
          <t>NOT RUN</t>
        </is>
      </c>
      <c r="K23" s="36" t="inlineStr">
        <is>
          <t>Claude (pending env)</t>
        </is>
      </c>
      <c r="L23" s="36" t="n"/>
      <c r="M23" s="36" t="n"/>
      <c r="N23" s="36" t="inlineStr">
        <is>
          <t>[T4 | Phase 4 | Claude (pending env)] Playwright/authenticated-API against running env. awaiting running staging URL + test accounts</t>
        </is>
      </c>
    </row>
    <row r="24" ht="43.25" customHeight="1" s="29">
      <c r="A24" s="37" t="inlineStr">
        <is>
          <t>MX-DEVICE-0022</t>
        </is>
      </c>
      <c r="B24" s="54" t="inlineStr">
        <is>
          <t>P1</t>
        </is>
      </c>
      <c r="C24" s="37" t="inlineStr">
        <is>
          <t>Frontend</t>
        </is>
      </c>
      <c r="D24" s="37" t="inlineStr">
        <is>
          <t>Quiz play on Low-end Android (Chrome)</t>
        </is>
      </c>
      <c r="E24" s="37" t="inlineStr">
        <is>
          <t>Confirms 'Quiz play' works on 'Low-end Android (Chrome)'. Indian students often use low-end and shared devices on weak networks; a screen that only works on a fast desktop excludes much of the market and breaks demos.</t>
        </is>
      </c>
      <c r="F24" s="37" t="inlineStr">
        <is>
          <t>Low-end Android (Chrome) (or an accurate emulator) with a throttled connection option.</t>
        </is>
      </c>
      <c r="G24" s="37" t="inlineStr">
        <is>
          <t>1) Open 'Quiz play' on Low-end Android (Chrome). 2) Exercise its primary action. 3) Check layout, tap targets, Hindi rendering, and load behavior on a throttled network.</t>
        </is>
      </c>
      <c r="H24" s="37" t="inlineStr">
        <is>
          <t>'Quiz play' is usable on Low-end Android (Chrome): no broken layout, no unusable tap targets, readable text (incl. Hindi), acceptable load.</t>
        </is>
      </c>
      <c r="I24" s="37" t="inlineStr">
        <is>
          <t>Screenshot/recording on Low-end Android (Chrome)</t>
        </is>
      </c>
      <c r="J24" s="43" t="inlineStr">
        <is>
          <t>NOT RUN</t>
        </is>
      </c>
      <c r="K24" s="37" t="inlineStr">
        <is>
          <t>Claude (pending env)</t>
        </is>
      </c>
      <c r="L24" s="37" t="n"/>
      <c r="M24" s="37" t="n"/>
      <c r="N24" s="37" t="inlineStr">
        <is>
          <t>[T4 | Phase 4 | Claude (pending env)] Playwright/authenticated-API against running env. awaiting running staging URL + test accounts</t>
        </is>
      </c>
    </row>
    <row r="25" ht="43.25" customHeight="1" s="29">
      <c r="A25" s="36" t="inlineStr">
        <is>
          <t>MX-DEVICE-0023</t>
        </is>
      </c>
      <c r="B25" s="54" t="inlineStr">
        <is>
          <t>P1</t>
        </is>
      </c>
      <c r="C25" s="36" t="inlineStr">
        <is>
          <t>Frontend</t>
        </is>
      </c>
      <c r="D25" s="36" t="inlineStr">
        <is>
          <t>Quiz play on Mid Android (Chrome)</t>
        </is>
      </c>
      <c r="E25" s="36" t="inlineStr">
        <is>
          <t>Confirms 'Quiz play' works on 'Mid Android (Chrome)'. Indian students often use low-end and shared devices on weak networks; a screen that only works on a fast desktop excludes much of the market and breaks demos.</t>
        </is>
      </c>
      <c r="F25" s="36" t="inlineStr">
        <is>
          <t>Mid Android (Chrome) (or an accurate emulator) with a throttled connection option.</t>
        </is>
      </c>
      <c r="G25" s="36" t="inlineStr">
        <is>
          <t>1) Open 'Quiz play' on Mid Android (Chrome). 2) Exercise its primary action. 3) Check layout, tap targets, Hindi rendering, and load behavior on a throttled network.</t>
        </is>
      </c>
      <c r="H25" s="36" t="inlineStr">
        <is>
          <t>'Quiz play' is usable on Mid Android (Chrome): no broken layout, no unusable tap targets, readable text (incl. Hindi), acceptable load.</t>
        </is>
      </c>
      <c r="I25" s="36" t="inlineStr">
        <is>
          <t>Screenshot/recording on Mid Android (Chrome)</t>
        </is>
      </c>
      <c r="J25" s="41" t="inlineStr">
        <is>
          <t>NOT RUN</t>
        </is>
      </c>
      <c r="K25" s="36" t="inlineStr">
        <is>
          <t>Claude (pending env)</t>
        </is>
      </c>
      <c r="L25" s="36" t="n"/>
      <c r="M25" s="36" t="n"/>
      <c r="N25" s="36" t="inlineStr">
        <is>
          <t>[T4 | Phase 4 | Claude (pending env)] Playwright/authenticated-API against running env. awaiting running staging URL + test accounts</t>
        </is>
      </c>
    </row>
    <row r="26" ht="43.25" customHeight="1" s="29">
      <c r="A26" s="37" t="inlineStr">
        <is>
          <t>MX-DEVICE-0024</t>
        </is>
      </c>
      <c r="B26" s="54" t="inlineStr">
        <is>
          <t>P1</t>
        </is>
      </c>
      <c r="C26" s="37" t="inlineStr">
        <is>
          <t>Frontend</t>
        </is>
      </c>
      <c r="D26" s="37" t="inlineStr">
        <is>
          <t>Quiz play on Older Android (WebView)</t>
        </is>
      </c>
      <c r="E26" s="37" t="inlineStr">
        <is>
          <t>Confirms 'Quiz play' works on 'Older Android (WebView)'. Indian students often use low-end and shared devices on weak networks; a screen that only works on a fast desktop excludes much of the market and breaks demos.</t>
        </is>
      </c>
      <c r="F26" s="37" t="inlineStr">
        <is>
          <t>Older Android (WebView) (or an accurate emulator) with a throttled connection option.</t>
        </is>
      </c>
      <c r="G26" s="37" t="inlineStr">
        <is>
          <t>1) Open 'Quiz play' on Older Android (WebView). 2) Exercise its primary action. 3) Check layout, tap targets, Hindi rendering, and load behavior on a throttled network.</t>
        </is>
      </c>
      <c r="H26" s="37" t="inlineStr">
        <is>
          <t>'Quiz play' is usable on Older Android (WebView): no broken layout, no unusable tap targets, readable text (incl. Hindi), acceptable load.</t>
        </is>
      </c>
      <c r="I26" s="37" t="inlineStr">
        <is>
          <t>Screenshot/recording on Older Android (WebView)</t>
        </is>
      </c>
      <c r="J26" s="43" t="inlineStr">
        <is>
          <t>NOT RUN</t>
        </is>
      </c>
      <c r="K26" s="37" t="inlineStr">
        <is>
          <t>Claude (pending env)</t>
        </is>
      </c>
      <c r="L26" s="37" t="n"/>
      <c r="M26" s="37" t="n"/>
      <c r="N26" s="37" t="inlineStr">
        <is>
          <t>[T4 | Phase 4 | Claude (pending env)] Playwright/authenticated-API against running env. awaiting running staging URL + test accounts</t>
        </is>
      </c>
    </row>
    <row r="27" ht="43.25" customHeight="1" s="29">
      <c r="A27" s="36" t="inlineStr">
        <is>
          <t>MX-DEVICE-0025</t>
        </is>
      </c>
      <c r="B27" s="54" t="inlineStr">
        <is>
          <t>P1</t>
        </is>
      </c>
      <c r="C27" s="36" t="inlineStr">
        <is>
          <t>Frontend</t>
        </is>
      </c>
      <c r="D27" s="36" t="inlineStr">
        <is>
          <t>Quiz play on iOS Safari</t>
        </is>
      </c>
      <c r="E27" s="36" t="inlineStr">
        <is>
          <t>Confirms 'Quiz play' works on 'iOS Safari'. Indian students often use low-end and shared devices on weak networks; a screen that only works on a fast desktop excludes much of the market and breaks demos.</t>
        </is>
      </c>
      <c r="F27" s="36" t="inlineStr">
        <is>
          <t>iOS Safari (or an accurate emulator) with a throttled connection option.</t>
        </is>
      </c>
      <c r="G27" s="36" t="inlineStr">
        <is>
          <t>1) Open 'Quiz play' on iOS Safari. 2) Exercise its primary action. 3) Check layout, tap targets, Hindi rendering, and load behavior on a throttled network.</t>
        </is>
      </c>
      <c r="H27" s="36" t="inlineStr">
        <is>
          <t>'Quiz play' is usable on iOS Safari: no broken layout, no unusable tap targets, readable text (incl. Hindi), acceptable load.</t>
        </is>
      </c>
      <c r="I27" s="36" t="inlineStr">
        <is>
          <t>Screenshot/recording on iOS Safari</t>
        </is>
      </c>
      <c r="J27" s="41" t="inlineStr">
        <is>
          <t>NOT RUN</t>
        </is>
      </c>
      <c r="K27" s="36" t="inlineStr">
        <is>
          <t>Claude (pending env)</t>
        </is>
      </c>
      <c r="L27" s="36" t="n"/>
      <c r="M27" s="36" t="n"/>
      <c r="N27" s="36" t="inlineStr">
        <is>
          <t>[T4 | Phase 4 | Claude (pending env)] Playwright/authenticated-API against running env. awaiting running staging URL + test accounts</t>
        </is>
      </c>
    </row>
    <row r="28" ht="43.25" customHeight="1" s="29">
      <c r="A28" s="37" t="inlineStr">
        <is>
          <t>MX-DEVICE-0026</t>
        </is>
      </c>
      <c r="B28" s="54" t="inlineStr">
        <is>
          <t>P1</t>
        </is>
      </c>
      <c r="C28" s="37" t="inlineStr">
        <is>
          <t>Frontend</t>
        </is>
      </c>
      <c r="D28" s="37" t="inlineStr">
        <is>
          <t>Quiz play on Desktop Chrome</t>
        </is>
      </c>
      <c r="E28" s="37" t="inlineStr">
        <is>
          <t>Confirms 'Quiz play' works on 'Desktop Chrome'. Indian students often use low-end and shared devices on weak networks; a screen that only works on a fast desktop excludes much of the market and breaks demos.</t>
        </is>
      </c>
      <c r="F28" s="37" t="inlineStr">
        <is>
          <t>Desktop Chrome (or an accurate emulator) with a throttled connection option.</t>
        </is>
      </c>
      <c r="G28" s="37" t="inlineStr">
        <is>
          <t>1) Open 'Quiz play' on Desktop Chrome. 2) Exercise its primary action. 3) Check layout, tap targets, Hindi rendering, and load behavior on a throttled network.</t>
        </is>
      </c>
      <c r="H28" s="37" t="inlineStr">
        <is>
          <t>'Quiz play' is usable on Desktop Chrome: no broken layout, no unusable tap targets, readable text (incl. Hindi), acceptable load.</t>
        </is>
      </c>
      <c r="I28" s="37" t="inlineStr">
        <is>
          <t>Screenshot/recording on Desktop Chrome</t>
        </is>
      </c>
      <c r="J28" s="43" t="inlineStr">
        <is>
          <t>NOT RUN</t>
        </is>
      </c>
      <c r="K28" s="37" t="inlineStr">
        <is>
          <t>Claude (pending env)</t>
        </is>
      </c>
      <c r="L28" s="37" t="n"/>
      <c r="M28" s="37" t="n"/>
      <c r="N28" s="37" t="inlineStr">
        <is>
          <t>[T4 | Phase 4 | Claude (pending env)] Playwright/authenticated-API against running env. awaiting running staging URL + test accounts</t>
        </is>
      </c>
    </row>
    <row r="29" ht="43.25" customHeight="1" s="29">
      <c r="A29" s="36" t="inlineStr">
        <is>
          <t>MX-DEVICE-0027</t>
        </is>
      </c>
      <c r="B29" s="54" t="inlineStr">
        <is>
          <t>P1</t>
        </is>
      </c>
      <c r="C29" s="36" t="inlineStr">
        <is>
          <t>Frontend</t>
        </is>
      </c>
      <c r="D29" s="36" t="inlineStr">
        <is>
          <t>Quiz play on Desktop Safari</t>
        </is>
      </c>
      <c r="E29" s="36" t="inlineStr">
        <is>
          <t>Confirms 'Quiz play' works on 'Desktop Safari'. Indian students often use low-end and shared devices on weak networks; a screen that only works on a fast desktop excludes much of the market and breaks demos.</t>
        </is>
      </c>
      <c r="F29" s="36" t="inlineStr">
        <is>
          <t>Desktop Safari (or an accurate emulator) with a throttled connection option.</t>
        </is>
      </c>
      <c r="G29" s="36" t="inlineStr">
        <is>
          <t>1) Open 'Quiz play' on Desktop Safari. 2) Exercise its primary action. 3) Check layout, tap targets, Hindi rendering, and load behavior on a throttled network.</t>
        </is>
      </c>
      <c r="H29" s="36" t="inlineStr">
        <is>
          <t>'Quiz play' is usable on Desktop Safari: no broken layout, no unusable tap targets, readable text (incl. Hindi), acceptable load.</t>
        </is>
      </c>
      <c r="I29" s="36" t="inlineStr">
        <is>
          <t>Screenshot/recording on Desktop Safari</t>
        </is>
      </c>
      <c r="J29" s="41" t="inlineStr">
        <is>
          <t>NOT RUN</t>
        </is>
      </c>
      <c r="K29" s="36" t="inlineStr">
        <is>
          <t>Claude (pending env)</t>
        </is>
      </c>
      <c r="L29" s="36" t="n"/>
      <c r="M29" s="36" t="n"/>
      <c r="N29" s="36" t="inlineStr">
        <is>
          <t>[T4 | Phase 4 | Claude (pending env)] Playwright/authenticated-API against running env. awaiting running staging URL + test accounts</t>
        </is>
      </c>
    </row>
    <row r="30" ht="43.25" customHeight="1" s="29">
      <c r="A30" s="37" t="inlineStr">
        <is>
          <t>MX-DEVICE-0028</t>
        </is>
      </c>
      <c r="B30" s="54" t="inlineStr">
        <is>
          <t>P1</t>
        </is>
      </c>
      <c r="C30" s="37" t="inlineStr">
        <is>
          <t>Frontend</t>
        </is>
      </c>
      <c r="D30" s="37" t="inlineStr">
        <is>
          <t>Quiz play on Tablet (shared-device)</t>
        </is>
      </c>
      <c r="E30" s="37" t="inlineStr">
        <is>
          <t>Confirms 'Quiz play' works on 'Tablet (shared-device)'. Indian students often use low-end and shared devices on weak networks; a screen that only works on a fast desktop excludes much of the market and breaks demos.</t>
        </is>
      </c>
      <c r="F30" s="37" t="inlineStr">
        <is>
          <t>Tablet (shared-device) (or an accurate emulator) with a throttled connection option.</t>
        </is>
      </c>
      <c r="G30" s="37" t="inlineStr">
        <is>
          <t>1) Open 'Quiz play' on Tablet (shared-device). 2) Exercise its primary action. 3) Check layout, tap targets, Hindi rendering, and load behavior on a throttled network.</t>
        </is>
      </c>
      <c r="H30" s="37" t="inlineStr">
        <is>
          <t>'Quiz play' is usable on Tablet (shared-device): no broken layout, no unusable tap targets, readable text (incl. Hindi), acceptable load.</t>
        </is>
      </c>
      <c r="I30" s="37" t="inlineStr">
        <is>
          <t>Screenshot/recording on Tablet (shared-device)</t>
        </is>
      </c>
      <c r="J30" s="43" t="inlineStr">
        <is>
          <t>NOT RUN</t>
        </is>
      </c>
      <c r="K30" s="37" t="inlineStr">
        <is>
          <t>Claude (pending env)</t>
        </is>
      </c>
      <c r="L30" s="37" t="n"/>
      <c r="M30" s="37" t="n"/>
      <c r="N30" s="37" t="inlineStr">
        <is>
          <t>[T4 | Phase 4 | Claude (pending env)] Playwright/authenticated-API against running env. awaiting running staging URL + test accounts</t>
        </is>
      </c>
    </row>
    <row r="31" ht="43.25" customHeight="1" s="29">
      <c r="A31" s="36" t="inlineStr">
        <is>
          <t>MX-DEVICE-0029</t>
        </is>
      </c>
      <c r="B31" s="55" t="inlineStr">
        <is>
          <t>P2</t>
        </is>
      </c>
      <c r="C31" s="36" t="inlineStr">
        <is>
          <t>Frontend</t>
        </is>
      </c>
      <c r="D31" s="36" t="inlineStr">
        <is>
          <t>Foxy chat on Low-end Android (Chrome)</t>
        </is>
      </c>
      <c r="E31" s="36" t="inlineStr">
        <is>
          <t>Confirms 'Foxy chat' works on 'Low-end Android (Chrome)'. Indian students often use low-end and shared devices on weak networks; a screen that only works on a fast desktop excludes much of the market and breaks demos.</t>
        </is>
      </c>
      <c r="F31" s="36" t="inlineStr">
        <is>
          <t>Low-end Android (Chrome) (or an accurate emulator) with a throttled connection option.</t>
        </is>
      </c>
      <c r="G31" s="36" t="inlineStr">
        <is>
          <t>1) Open 'Foxy chat' on Low-end Android (Chrome). 2) Exercise its primary action. 3) Check layout, tap targets, Hindi rendering, and load behavior on a throttled network.</t>
        </is>
      </c>
      <c r="H31" s="36" t="inlineStr">
        <is>
          <t>'Foxy chat' is usable on Low-end Android (Chrome): no broken layout, no unusable tap targets, readable text (incl. Hindi), acceptable load.</t>
        </is>
      </c>
      <c r="I31" s="36" t="inlineStr">
        <is>
          <t>Screenshot/recording on Low-end Android (Chrome)</t>
        </is>
      </c>
      <c r="J31" s="41" t="inlineStr">
        <is>
          <t>NOT RUN</t>
        </is>
      </c>
      <c r="K31" s="36" t="inlineStr">
        <is>
          <t>Claude (pending env)</t>
        </is>
      </c>
      <c r="L31" s="36" t="n"/>
      <c r="M31" s="36" t="n"/>
      <c r="N31" s="36" t="inlineStr">
        <is>
          <t>[T4 | Phase 4 | Claude (pending env)] Playwright/authenticated-API against running env. awaiting running staging URL + test accounts</t>
        </is>
      </c>
    </row>
    <row r="32" ht="43.25" customHeight="1" s="29">
      <c r="A32" s="37" t="inlineStr">
        <is>
          <t>MX-DEVICE-0030</t>
        </is>
      </c>
      <c r="B32" s="55" t="inlineStr">
        <is>
          <t>P2</t>
        </is>
      </c>
      <c r="C32" s="37" t="inlineStr">
        <is>
          <t>Frontend</t>
        </is>
      </c>
      <c r="D32" s="37" t="inlineStr">
        <is>
          <t>Foxy chat on Mid Android (Chrome)</t>
        </is>
      </c>
      <c r="E32" s="37" t="inlineStr">
        <is>
          <t>Confirms 'Foxy chat' works on 'Mid Android (Chrome)'. Indian students often use low-end and shared devices on weak networks; a screen that only works on a fast desktop excludes much of the market and breaks demos.</t>
        </is>
      </c>
      <c r="F32" s="37" t="inlineStr">
        <is>
          <t>Mid Android (Chrome) (or an accurate emulator) with a throttled connection option.</t>
        </is>
      </c>
      <c r="G32" s="37" t="inlineStr">
        <is>
          <t>1) Open 'Foxy chat' on Mid Android (Chrome). 2) Exercise its primary action. 3) Check layout, tap targets, Hindi rendering, and load behavior on a throttled network.</t>
        </is>
      </c>
      <c r="H32" s="37" t="inlineStr">
        <is>
          <t>'Foxy chat' is usable on Mid Android (Chrome): no broken layout, no unusable tap targets, readable text (incl. Hindi), acceptable load.</t>
        </is>
      </c>
      <c r="I32" s="37" t="inlineStr">
        <is>
          <t>Screenshot/recording on Mid Android (Chrome)</t>
        </is>
      </c>
      <c r="J32" s="43" t="inlineStr">
        <is>
          <t>NOT RUN</t>
        </is>
      </c>
      <c r="K32" s="37" t="inlineStr">
        <is>
          <t>Claude (pending env)</t>
        </is>
      </c>
      <c r="L32" s="37" t="n"/>
      <c r="M32" s="37" t="n"/>
      <c r="N32" s="37" t="inlineStr">
        <is>
          <t>[T4 | Phase 4 | Claude (pending env)] Playwright/authenticated-API against running env. awaiting running staging URL + test accounts</t>
        </is>
      </c>
    </row>
    <row r="33" ht="43.25" customHeight="1" s="29">
      <c r="A33" s="36" t="inlineStr">
        <is>
          <t>MX-DEVICE-0031</t>
        </is>
      </c>
      <c r="B33" s="55" t="inlineStr">
        <is>
          <t>P2</t>
        </is>
      </c>
      <c r="C33" s="36" t="inlineStr">
        <is>
          <t>Frontend</t>
        </is>
      </c>
      <c r="D33" s="36" t="inlineStr">
        <is>
          <t>Foxy chat on Older Android (WebView)</t>
        </is>
      </c>
      <c r="E33" s="36" t="inlineStr">
        <is>
          <t>Confirms 'Foxy chat' works on 'Older Android (WebView)'. Indian students often use low-end and shared devices on weak networks; a screen that only works on a fast desktop excludes much of the market and breaks demos.</t>
        </is>
      </c>
      <c r="F33" s="36" t="inlineStr">
        <is>
          <t>Older Android (WebView) (or an accurate emulator) with a throttled connection option.</t>
        </is>
      </c>
      <c r="G33" s="36" t="inlineStr">
        <is>
          <t>1) Open 'Foxy chat' on Older Android (WebView). 2) Exercise its primary action. 3) Check layout, tap targets, Hindi rendering, and load behavior on a throttled network.</t>
        </is>
      </c>
      <c r="H33" s="36" t="inlineStr">
        <is>
          <t>'Foxy chat' is usable on Older Android (WebView): no broken layout, no unusable tap targets, readable text (incl. Hindi), acceptable load.</t>
        </is>
      </c>
      <c r="I33" s="36" t="inlineStr">
        <is>
          <t>Screenshot/recording on Older Android (WebView)</t>
        </is>
      </c>
      <c r="J33" s="41" t="inlineStr">
        <is>
          <t>NOT RUN</t>
        </is>
      </c>
      <c r="K33" s="36" t="inlineStr">
        <is>
          <t>Claude (pending env)</t>
        </is>
      </c>
      <c r="L33" s="36" t="n"/>
      <c r="M33" s="36" t="n"/>
      <c r="N33" s="36" t="inlineStr">
        <is>
          <t>[T4 | Phase 4 | Claude (pending env)] Playwright/authenticated-API against running env. awaiting running staging URL + test accounts</t>
        </is>
      </c>
    </row>
    <row r="34" ht="43.25" customHeight="1" s="29">
      <c r="A34" s="37" t="inlineStr">
        <is>
          <t>MX-DEVICE-0032</t>
        </is>
      </c>
      <c r="B34" s="55" t="inlineStr">
        <is>
          <t>P2</t>
        </is>
      </c>
      <c r="C34" s="37" t="inlineStr">
        <is>
          <t>Frontend</t>
        </is>
      </c>
      <c r="D34" s="37" t="inlineStr">
        <is>
          <t>Foxy chat on iOS Safari</t>
        </is>
      </c>
      <c r="E34" s="37" t="inlineStr">
        <is>
          <t>Confirms 'Foxy chat' works on 'iOS Safari'. Indian students often use low-end and shared devices on weak networks; a screen that only works on a fast desktop excludes much of the market and breaks demos.</t>
        </is>
      </c>
      <c r="F34" s="37" t="inlineStr">
        <is>
          <t>iOS Safari (or an accurate emulator) with a throttled connection option.</t>
        </is>
      </c>
      <c r="G34" s="37" t="inlineStr">
        <is>
          <t>1) Open 'Foxy chat' on iOS Safari. 2) Exercise its primary action. 3) Check layout, tap targets, Hindi rendering, and load behavior on a throttled network.</t>
        </is>
      </c>
      <c r="H34" s="37" t="inlineStr">
        <is>
          <t>'Foxy chat' is usable on iOS Safari: no broken layout, no unusable tap targets, readable text (incl. Hindi), acceptable load.</t>
        </is>
      </c>
      <c r="I34" s="37" t="inlineStr">
        <is>
          <t>Screenshot/recording on iOS Safari</t>
        </is>
      </c>
      <c r="J34" s="43" t="inlineStr">
        <is>
          <t>NOT RUN</t>
        </is>
      </c>
      <c r="K34" s="37" t="inlineStr">
        <is>
          <t>Claude (pending env)</t>
        </is>
      </c>
      <c r="L34" s="37" t="n"/>
      <c r="M34" s="37" t="n"/>
      <c r="N34" s="37" t="inlineStr">
        <is>
          <t>[T4 | Phase 4 | Claude (pending env)] Playwright/authenticated-API against running env. awaiting running staging URL + test accounts</t>
        </is>
      </c>
    </row>
    <row r="35" ht="43.25" customHeight="1" s="29">
      <c r="A35" s="36" t="inlineStr">
        <is>
          <t>MX-DEVICE-0033</t>
        </is>
      </c>
      <c r="B35" s="55" t="inlineStr">
        <is>
          <t>P2</t>
        </is>
      </c>
      <c r="C35" s="36" t="inlineStr">
        <is>
          <t>Frontend</t>
        </is>
      </c>
      <c r="D35" s="36" t="inlineStr">
        <is>
          <t>Foxy chat on Desktop Chrome</t>
        </is>
      </c>
      <c r="E35" s="36" t="inlineStr">
        <is>
          <t>Confirms 'Foxy chat' works on 'Desktop Chrome'. Indian students often use low-end and shared devices on weak networks; a screen that only works on a fast desktop excludes much of the market and breaks demos.</t>
        </is>
      </c>
      <c r="F35" s="36" t="inlineStr">
        <is>
          <t>Desktop Chrome (or an accurate emulator) with a throttled connection option.</t>
        </is>
      </c>
      <c r="G35" s="36" t="inlineStr">
        <is>
          <t>1) Open 'Foxy chat' on Desktop Chrome. 2) Exercise its primary action. 3) Check layout, tap targets, Hindi rendering, and load behavior on a throttled network.</t>
        </is>
      </c>
      <c r="H35" s="36" t="inlineStr">
        <is>
          <t>'Foxy chat' is usable on Desktop Chrome: no broken layout, no unusable tap targets, readable text (incl. Hindi), acceptable load.</t>
        </is>
      </c>
      <c r="I35" s="36" t="inlineStr">
        <is>
          <t>Screenshot/recording on Desktop Chrome</t>
        </is>
      </c>
      <c r="J35" s="41" t="inlineStr">
        <is>
          <t>NOT RUN</t>
        </is>
      </c>
      <c r="K35" s="36" t="inlineStr">
        <is>
          <t>Claude (pending env)</t>
        </is>
      </c>
      <c r="L35" s="36" t="n"/>
      <c r="M35" s="36" t="n"/>
      <c r="N35" s="36" t="inlineStr">
        <is>
          <t>[T4 | Phase 4 | Claude (pending env)] Playwright/authenticated-API against running env. awaiting running staging URL + test accounts</t>
        </is>
      </c>
    </row>
    <row r="36" ht="43.25" customHeight="1" s="29">
      <c r="A36" s="37" t="inlineStr">
        <is>
          <t>MX-DEVICE-0034</t>
        </is>
      </c>
      <c r="B36" s="55" t="inlineStr">
        <is>
          <t>P2</t>
        </is>
      </c>
      <c r="C36" s="37" t="inlineStr">
        <is>
          <t>Frontend</t>
        </is>
      </c>
      <c r="D36" s="37" t="inlineStr">
        <is>
          <t>Foxy chat on Desktop Safari</t>
        </is>
      </c>
      <c r="E36" s="37" t="inlineStr">
        <is>
          <t>Confirms 'Foxy chat' works on 'Desktop Safari'. Indian students often use low-end and shared devices on weak networks; a screen that only works on a fast desktop excludes much of the market and breaks demos.</t>
        </is>
      </c>
      <c r="F36" s="37" t="inlineStr">
        <is>
          <t>Desktop Safari (or an accurate emulator) with a throttled connection option.</t>
        </is>
      </c>
      <c r="G36" s="37" t="inlineStr">
        <is>
          <t>1) Open 'Foxy chat' on Desktop Safari. 2) Exercise its primary action. 3) Check layout, tap targets, Hindi rendering, and load behavior on a throttled network.</t>
        </is>
      </c>
      <c r="H36" s="37" t="inlineStr">
        <is>
          <t>'Foxy chat' is usable on Desktop Safari: no broken layout, no unusable tap targets, readable text (incl. Hindi), acceptable load.</t>
        </is>
      </c>
      <c r="I36" s="37" t="inlineStr">
        <is>
          <t>Screenshot/recording on Desktop Safari</t>
        </is>
      </c>
      <c r="J36" s="43" t="inlineStr">
        <is>
          <t>NOT RUN</t>
        </is>
      </c>
      <c r="K36" s="37" t="inlineStr">
        <is>
          <t>Claude (pending env)</t>
        </is>
      </c>
      <c r="L36" s="37" t="n"/>
      <c r="M36" s="37" t="n"/>
      <c r="N36" s="37" t="inlineStr">
        <is>
          <t>[T4 | Phase 4 | Claude (pending env)] Playwright/authenticated-API against running env. awaiting running staging URL + test accounts</t>
        </is>
      </c>
    </row>
    <row r="37" ht="43.25" customHeight="1" s="29">
      <c r="A37" s="36" t="inlineStr">
        <is>
          <t>MX-DEVICE-0035</t>
        </is>
      </c>
      <c r="B37" s="55" t="inlineStr">
        <is>
          <t>P2</t>
        </is>
      </c>
      <c r="C37" s="36" t="inlineStr">
        <is>
          <t>Frontend</t>
        </is>
      </c>
      <c r="D37" s="36" t="inlineStr">
        <is>
          <t>Foxy chat on Tablet (shared-device)</t>
        </is>
      </c>
      <c r="E37" s="36" t="inlineStr">
        <is>
          <t>Confirms 'Foxy chat' works on 'Tablet (shared-device)'. Indian students often use low-end and shared devices on weak networks; a screen that only works on a fast desktop excludes much of the market and breaks demos.</t>
        </is>
      </c>
      <c r="F37" s="36" t="inlineStr">
        <is>
          <t>Tablet (shared-device) (or an accurate emulator) with a throttled connection option.</t>
        </is>
      </c>
      <c r="G37" s="36" t="inlineStr">
        <is>
          <t>1) Open 'Foxy chat' on Tablet (shared-device). 2) Exercise its primary action. 3) Check layout, tap targets, Hindi rendering, and load behavior on a throttled network.</t>
        </is>
      </c>
      <c r="H37" s="36" t="inlineStr">
        <is>
          <t>'Foxy chat' is usable on Tablet (shared-device): no broken layout, no unusable tap targets, readable text (incl. Hindi), acceptable load.</t>
        </is>
      </c>
      <c r="I37" s="36" t="inlineStr">
        <is>
          <t>Screenshot/recording on Tablet (shared-device)</t>
        </is>
      </c>
      <c r="J37" s="41" t="inlineStr">
        <is>
          <t>NOT RUN</t>
        </is>
      </c>
      <c r="K37" s="36" t="inlineStr">
        <is>
          <t>Claude (pending env)</t>
        </is>
      </c>
      <c r="L37" s="36" t="n"/>
      <c r="M37" s="36" t="n"/>
      <c r="N37" s="36" t="inlineStr">
        <is>
          <t>[T4 | Phase 4 | Claude (pending env)] Playwright/authenticated-API against running env. awaiting running staging URL + test accounts</t>
        </is>
      </c>
    </row>
    <row r="38" ht="43.25" customHeight="1" s="29">
      <c r="A38" s="37" t="inlineStr">
        <is>
          <t>MX-DEVICE-0036</t>
        </is>
      </c>
      <c r="B38" s="55" t="inlineStr">
        <is>
          <t>P2</t>
        </is>
      </c>
      <c r="C38" s="37" t="inlineStr">
        <is>
          <t>Frontend</t>
        </is>
      </c>
      <c r="D38" s="37" t="inlineStr">
        <is>
          <t>Progress/Mastery on Low-end Android (Chrome)</t>
        </is>
      </c>
      <c r="E38" s="37" t="inlineStr">
        <is>
          <t>Confirms 'Progress/Mastery' works on 'Low-end Android (Chrome)'. Indian students often use low-end and shared devices on weak networks; a screen that only works on a fast desktop excludes much of the market and breaks demos.</t>
        </is>
      </c>
      <c r="F38" s="37" t="inlineStr">
        <is>
          <t>Low-end Android (Chrome) (or an accurate emulator) with a throttled connection option.</t>
        </is>
      </c>
      <c r="G38" s="37" t="inlineStr">
        <is>
          <t>1) Open 'Progress/Mastery' on Low-end Android (Chrome). 2) Exercise its primary action. 3) Check layout, tap targets, Hindi rendering, and load behavior on a throttled network.</t>
        </is>
      </c>
      <c r="H38" s="37" t="inlineStr">
        <is>
          <t>'Progress/Mastery' is usable on Low-end Android (Chrome): no broken layout, no unusable tap targets, readable text (incl. Hindi), acceptable load.</t>
        </is>
      </c>
      <c r="I38" s="37" t="inlineStr">
        <is>
          <t>Screenshot/recording on Low-end Android (Chrome)</t>
        </is>
      </c>
      <c r="J38" s="43" t="inlineStr">
        <is>
          <t>NOT RUN</t>
        </is>
      </c>
      <c r="K38" s="37" t="inlineStr">
        <is>
          <t>Claude (pending env)</t>
        </is>
      </c>
      <c r="L38" s="37" t="n"/>
      <c r="M38" s="37" t="n"/>
      <c r="N38" s="37" t="inlineStr">
        <is>
          <t>[T4 | Phase 4 | Claude (pending env)] Playwright/authenticated-API against running env. awaiting running staging URL + test accounts</t>
        </is>
      </c>
    </row>
    <row r="39" ht="43.25" customHeight="1" s="29">
      <c r="A39" s="36" t="inlineStr">
        <is>
          <t>MX-DEVICE-0037</t>
        </is>
      </c>
      <c r="B39" s="55" t="inlineStr">
        <is>
          <t>P2</t>
        </is>
      </c>
      <c r="C39" s="36" t="inlineStr">
        <is>
          <t>Frontend</t>
        </is>
      </c>
      <c r="D39" s="36" t="inlineStr">
        <is>
          <t>Progress/Mastery on Mid Android (Chrome)</t>
        </is>
      </c>
      <c r="E39" s="36" t="inlineStr">
        <is>
          <t>Confirms 'Progress/Mastery' works on 'Mid Android (Chrome)'. Indian students often use low-end and shared devices on weak networks; a screen that only works on a fast desktop excludes much of the market and breaks demos.</t>
        </is>
      </c>
      <c r="F39" s="36" t="inlineStr">
        <is>
          <t>Mid Android (Chrome) (or an accurate emulator) with a throttled connection option.</t>
        </is>
      </c>
      <c r="G39" s="36" t="inlineStr">
        <is>
          <t>1) Open 'Progress/Mastery' on Mid Android (Chrome). 2) Exercise its primary action. 3) Check layout, tap targets, Hindi rendering, and load behavior on a throttled network.</t>
        </is>
      </c>
      <c r="H39" s="36" t="inlineStr">
        <is>
          <t>'Progress/Mastery' is usable on Mid Android (Chrome): no broken layout, no unusable tap targets, readable text (incl. Hindi), acceptable load.</t>
        </is>
      </c>
      <c r="I39" s="36" t="inlineStr">
        <is>
          <t>Screenshot/recording on Mid Android (Chrome)</t>
        </is>
      </c>
      <c r="J39" s="41" t="inlineStr">
        <is>
          <t>NOT RUN</t>
        </is>
      </c>
      <c r="K39" s="36" t="inlineStr">
        <is>
          <t>Claude (pending env)</t>
        </is>
      </c>
      <c r="L39" s="36" t="n"/>
      <c r="M39" s="36" t="n"/>
      <c r="N39" s="36" t="inlineStr">
        <is>
          <t>[T4 | Phase 4 | Claude (pending env)] Playwright/authenticated-API against running env. awaiting running staging URL + test accounts</t>
        </is>
      </c>
    </row>
    <row r="40" ht="43.25" customHeight="1" s="29">
      <c r="A40" s="37" t="inlineStr">
        <is>
          <t>MX-DEVICE-0038</t>
        </is>
      </c>
      <c r="B40" s="55" t="inlineStr">
        <is>
          <t>P2</t>
        </is>
      </c>
      <c r="C40" s="37" t="inlineStr">
        <is>
          <t>Frontend</t>
        </is>
      </c>
      <c r="D40" s="37" t="inlineStr">
        <is>
          <t>Progress/Mastery on Older Android (WebView)</t>
        </is>
      </c>
      <c r="E40" s="37" t="inlineStr">
        <is>
          <t>Confirms 'Progress/Mastery' works on 'Older Android (WebView)'. Indian students often use low-end and shared devices on weak networks; a screen that only works on a fast desktop excludes much of the market and breaks demos.</t>
        </is>
      </c>
      <c r="F40" s="37" t="inlineStr">
        <is>
          <t>Older Android (WebView) (or an accurate emulator) with a throttled connection option.</t>
        </is>
      </c>
      <c r="G40" s="37" t="inlineStr">
        <is>
          <t>1) Open 'Progress/Mastery' on Older Android (WebView). 2) Exercise its primary action. 3) Check layout, tap targets, Hindi rendering, and load behavior on a throttled network.</t>
        </is>
      </c>
      <c r="H40" s="37" t="inlineStr">
        <is>
          <t>'Progress/Mastery' is usable on Older Android (WebView): no broken layout, no unusable tap targets, readable text (incl. Hindi), acceptable load.</t>
        </is>
      </c>
      <c r="I40" s="37" t="inlineStr">
        <is>
          <t>Screenshot/recording on Older Android (WebView)</t>
        </is>
      </c>
      <c r="J40" s="43" t="inlineStr">
        <is>
          <t>NOT RUN</t>
        </is>
      </c>
      <c r="K40" s="37" t="inlineStr">
        <is>
          <t>Claude (pending env)</t>
        </is>
      </c>
      <c r="L40" s="37" t="n"/>
      <c r="M40" s="37" t="n"/>
      <c r="N40" s="37" t="inlineStr">
        <is>
          <t>[T4 | Phase 4 | Claude (pending env)] Playwright/authenticated-API against running env. awaiting running staging URL + test accounts</t>
        </is>
      </c>
    </row>
    <row r="41" ht="43.25" customHeight="1" s="29">
      <c r="A41" s="36" t="inlineStr">
        <is>
          <t>MX-DEVICE-0039</t>
        </is>
      </c>
      <c r="B41" s="55" t="inlineStr">
        <is>
          <t>P2</t>
        </is>
      </c>
      <c r="C41" s="36" t="inlineStr">
        <is>
          <t>Frontend</t>
        </is>
      </c>
      <c r="D41" s="36" t="inlineStr">
        <is>
          <t>Progress/Mastery on iOS Safari</t>
        </is>
      </c>
      <c r="E41" s="36" t="inlineStr">
        <is>
          <t>Confirms 'Progress/Mastery' works on 'iOS Safari'. Indian students often use low-end and shared devices on weak networks; a screen that only works on a fast desktop excludes much of the market and breaks demos.</t>
        </is>
      </c>
      <c r="F41" s="36" t="inlineStr">
        <is>
          <t>iOS Safari (or an accurate emulator) with a throttled connection option.</t>
        </is>
      </c>
      <c r="G41" s="36" t="inlineStr">
        <is>
          <t>1) Open 'Progress/Mastery' on iOS Safari. 2) Exercise its primary action. 3) Check layout, tap targets, Hindi rendering, and load behavior on a throttled network.</t>
        </is>
      </c>
      <c r="H41" s="36" t="inlineStr">
        <is>
          <t>'Progress/Mastery' is usable on iOS Safari: no broken layout, no unusable tap targets, readable text (incl. Hindi), acceptable load.</t>
        </is>
      </c>
      <c r="I41" s="36" t="inlineStr">
        <is>
          <t>Screenshot/recording on iOS Safari</t>
        </is>
      </c>
      <c r="J41" s="41" t="inlineStr">
        <is>
          <t>NOT RUN</t>
        </is>
      </c>
      <c r="K41" s="36" t="inlineStr">
        <is>
          <t>Claude (pending env)</t>
        </is>
      </c>
      <c r="L41" s="36" t="n"/>
      <c r="M41" s="36" t="n"/>
      <c r="N41" s="36" t="inlineStr">
        <is>
          <t>[T4 | Phase 4 | Claude (pending env)] Playwright/authenticated-API against running env. awaiting running staging URL + test accounts</t>
        </is>
      </c>
    </row>
    <row r="42" ht="43.25" customHeight="1" s="29">
      <c r="A42" s="37" t="inlineStr">
        <is>
          <t>MX-DEVICE-0040</t>
        </is>
      </c>
      <c r="B42" s="55" t="inlineStr">
        <is>
          <t>P2</t>
        </is>
      </c>
      <c r="C42" s="37" t="inlineStr">
        <is>
          <t>Frontend</t>
        </is>
      </c>
      <c r="D42" s="37" t="inlineStr">
        <is>
          <t>Progress/Mastery on Desktop Chrome</t>
        </is>
      </c>
      <c r="E42" s="37" t="inlineStr">
        <is>
          <t>Confirms 'Progress/Mastery' works on 'Desktop Chrome'. Indian students often use low-end and shared devices on weak networks; a screen that only works on a fast desktop excludes much of the market and breaks demos.</t>
        </is>
      </c>
      <c r="F42" s="37" t="inlineStr">
        <is>
          <t>Desktop Chrome (or an accurate emulator) with a throttled connection option.</t>
        </is>
      </c>
      <c r="G42" s="37" t="inlineStr">
        <is>
          <t>1) Open 'Progress/Mastery' on Desktop Chrome. 2) Exercise its primary action. 3) Check layout, tap targets, Hindi rendering, and load behavior on a throttled network.</t>
        </is>
      </c>
      <c r="H42" s="37" t="inlineStr">
        <is>
          <t>'Progress/Mastery' is usable on Desktop Chrome: no broken layout, no unusable tap targets, readable text (incl. Hindi), acceptable load.</t>
        </is>
      </c>
      <c r="I42" s="37" t="inlineStr">
        <is>
          <t>Screenshot/recording on Desktop Chrome</t>
        </is>
      </c>
      <c r="J42" s="43" t="inlineStr">
        <is>
          <t>NOT RUN</t>
        </is>
      </c>
      <c r="K42" s="37" t="inlineStr">
        <is>
          <t>Claude (pending env)</t>
        </is>
      </c>
      <c r="L42" s="37" t="n"/>
      <c r="M42" s="37" t="n"/>
      <c r="N42" s="37" t="inlineStr">
        <is>
          <t>[T4 | Phase 4 | Claude (pending env)] Playwright/authenticated-API against running env. awaiting running staging URL + test accounts</t>
        </is>
      </c>
    </row>
    <row r="43" ht="43.25" customHeight="1" s="29">
      <c r="A43" s="36" t="inlineStr">
        <is>
          <t>MX-DEVICE-0041</t>
        </is>
      </c>
      <c r="B43" s="55" t="inlineStr">
        <is>
          <t>P2</t>
        </is>
      </c>
      <c r="C43" s="36" t="inlineStr">
        <is>
          <t>Frontend</t>
        </is>
      </c>
      <c r="D43" s="36" t="inlineStr">
        <is>
          <t>Progress/Mastery on Desktop Safari</t>
        </is>
      </c>
      <c r="E43" s="36" t="inlineStr">
        <is>
          <t>Confirms 'Progress/Mastery' works on 'Desktop Safari'. Indian students often use low-end and shared devices on weak networks; a screen that only works on a fast desktop excludes much of the market and breaks demos.</t>
        </is>
      </c>
      <c r="F43" s="36" t="inlineStr">
        <is>
          <t>Desktop Safari (or an accurate emulator) with a throttled connection option.</t>
        </is>
      </c>
      <c r="G43" s="36" t="inlineStr">
        <is>
          <t>1) Open 'Progress/Mastery' on Desktop Safari. 2) Exercise its primary action. 3) Check layout, tap targets, Hindi rendering, and load behavior on a throttled network.</t>
        </is>
      </c>
      <c r="H43" s="36" t="inlineStr">
        <is>
          <t>'Progress/Mastery' is usable on Desktop Safari: no broken layout, no unusable tap targets, readable text (incl. Hindi), acceptable load.</t>
        </is>
      </c>
      <c r="I43" s="36" t="inlineStr">
        <is>
          <t>Screenshot/recording on Desktop Safari</t>
        </is>
      </c>
      <c r="J43" s="41" t="inlineStr">
        <is>
          <t>NOT RUN</t>
        </is>
      </c>
      <c r="K43" s="36" t="inlineStr">
        <is>
          <t>Claude (pending env)</t>
        </is>
      </c>
      <c r="L43" s="36" t="n"/>
      <c r="M43" s="36" t="n"/>
      <c r="N43" s="36" t="inlineStr">
        <is>
          <t>[T4 | Phase 4 | Claude (pending env)] Playwright/authenticated-API against running env. awaiting running staging URL + test accounts</t>
        </is>
      </c>
    </row>
    <row r="44" ht="43.25" customHeight="1" s="29">
      <c r="A44" s="37" t="inlineStr">
        <is>
          <t>MX-DEVICE-0042</t>
        </is>
      </c>
      <c r="B44" s="55" t="inlineStr">
        <is>
          <t>P2</t>
        </is>
      </c>
      <c r="C44" s="37" t="inlineStr">
        <is>
          <t>Frontend</t>
        </is>
      </c>
      <c r="D44" s="37" t="inlineStr">
        <is>
          <t>Progress/Mastery on Tablet (shared-device)</t>
        </is>
      </c>
      <c r="E44" s="37" t="inlineStr">
        <is>
          <t>Confirms 'Progress/Mastery' works on 'Tablet (shared-device)'. Indian students often use low-end and shared devices on weak networks; a screen that only works on a fast desktop excludes much of the market and breaks demos.</t>
        </is>
      </c>
      <c r="F44" s="37" t="inlineStr">
        <is>
          <t>Tablet (shared-device) (or an accurate emulator) with a throttled connection option.</t>
        </is>
      </c>
      <c r="G44" s="37" t="inlineStr">
        <is>
          <t>1) Open 'Progress/Mastery' on Tablet (shared-device). 2) Exercise its primary action. 3) Check layout, tap targets, Hindi rendering, and load behavior on a throttled network.</t>
        </is>
      </c>
      <c r="H44" s="37" t="inlineStr">
        <is>
          <t>'Progress/Mastery' is usable on Tablet (shared-device): no broken layout, no unusable tap targets, readable text (incl. Hindi), acceptable load.</t>
        </is>
      </c>
      <c r="I44" s="37" t="inlineStr">
        <is>
          <t>Screenshot/recording on Tablet (shared-device)</t>
        </is>
      </c>
      <c r="J44" s="43" t="inlineStr">
        <is>
          <t>NOT RUN</t>
        </is>
      </c>
      <c r="K44" s="37" t="inlineStr">
        <is>
          <t>Claude (pending env)</t>
        </is>
      </c>
      <c r="L44" s="37" t="n"/>
      <c r="M44" s="37" t="n"/>
      <c r="N44" s="37" t="inlineStr">
        <is>
          <t>[T4 | Phase 4 | Claude (pending env)] Playwright/authenticated-API against running env. awaiting running staging URL + test accounts</t>
        </is>
      </c>
    </row>
    <row r="45" ht="43.25" customHeight="1" s="29">
      <c r="A45" s="36" t="inlineStr">
        <is>
          <t>MX-DEVICE-0043</t>
        </is>
      </c>
      <c r="B45" s="55" t="inlineStr">
        <is>
          <t>P2</t>
        </is>
      </c>
      <c r="C45" s="36" t="inlineStr">
        <is>
          <t>Frontend</t>
        </is>
      </c>
      <c r="D45" s="36" t="inlineStr">
        <is>
          <t>Diagnostic/Mock on Low-end Android (Chrome)</t>
        </is>
      </c>
      <c r="E45" s="36" t="inlineStr">
        <is>
          <t>Confirms 'Diagnostic/Mock' works on 'Low-end Android (Chrome)'. Indian students often use low-end and shared devices on weak networks; a screen that only works on a fast desktop excludes much of the market and breaks demos.</t>
        </is>
      </c>
      <c r="F45" s="36" t="inlineStr">
        <is>
          <t>Low-end Android (Chrome) (or an accurate emulator) with a throttled connection option.</t>
        </is>
      </c>
      <c r="G45" s="36" t="inlineStr">
        <is>
          <t>1) Open 'Diagnostic/Mock' on Low-end Android (Chrome). 2) Exercise its primary action. 3) Check layout, tap targets, Hindi rendering, and load behavior on a throttled network.</t>
        </is>
      </c>
      <c r="H45" s="36" t="inlineStr">
        <is>
          <t>'Diagnostic/Mock' is usable on Low-end Android (Chrome): no broken layout, no unusable tap targets, readable text (incl. Hindi), acceptable load.</t>
        </is>
      </c>
      <c r="I45" s="36" t="inlineStr">
        <is>
          <t>Screenshot/recording on Low-end Android (Chrome)</t>
        </is>
      </c>
      <c r="J45" s="41" t="inlineStr">
        <is>
          <t>NOT RUN</t>
        </is>
      </c>
      <c r="K45" s="36" t="inlineStr">
        <is>
          <t>Claude (pending env)</t>
        </is>
      </c>
      <c r="L45" s="36" t="n"/>
      <c r="M45" s="36" t="n"/>
      <c r="N45" s="36" t="inlineStr">
        <is>
          <t>[T4 | Phase 4 | Claude (pending env)] Playwright/authenticated-API against running env. awaiting running staging URL + test accounts</t>
        </is>
      </c>
    </row>
    <row r="46" ht="43.25" customHeight="1" s="29">
      <c r="A46" s="37" t="inlineStr">
        <is>
          <t>MX-DEVICE-0044</t>
        </is>
      </c>
      <c r="B46" s="55" t="inlineStr">
        <is>
          <t>P2</t>
        </is>
      </c>
      <c r="C46" s="37" t="inlineStr">
        <is>
          <t>Frontend</t>
        </is>
      </c>
      <c r="D46" s="37" t="inlineStr">
        <is>
          <t>Diagnostic/Mock on Mid Android (Chrome)</t>
        </is>
      </c>
      <c r="E46" s="37" t="inlineStr">
        <is>
          <t>Confirms 'Diagnostic/Mock' works on 'Mid Android (Chrome)'. Indian students often use low-end and shared devices on weak networks; a screen that only works on a fast desktop excludes much of the market and breaks demos.</t>
        </is>
      </c>
      <c r="F46" s="37" t="inlineStr">
        <is>
          <t>Mid Android (Chrome) (or an accurate emulator) with a throttled connection option.</t>
        </is>
      </c>
      <c r="G46" s="37" t="inlineStr">
        <is>
          <t>1) Open 'Diagnostic/Mock' on Mid Android (Chrome). 2) Exercise its primary action. 3) Check layout, tap targets, Hindi rendering, and load behavior on a throttled network.</t>
        </is>
      </c>
      <c r="H46" s="37" t="inlineStr">
        <is>
          <t>'Diagnostic/Mock' is usable on Mid Android (Chrome): no broken layout, no unusable tap targets, readable text (incl. Hindi), acceptable load.</t>
        </is>
      </c>
      <c r="I46" s="37" t="inlineStr">
        <is>
          <t>Screenshot/recording on Mid Android (Chrome)</t>
        </is>
      </c>
      <c r="J46" s="43" t="inlineStr">
        <is>
          <t>NOT RUN</t>
        </is>
      </c>
      <c r="K46" s="37" t="inlineStr">
        <is>
          <t>Claude (pending env)</t>
        </is>
      </c>
      <c r="L46" s="37" t="n"/>
      <c r="M46" s="37" t="n"/>
      <c r="N46" s="37" t="inlineStr">
        <is>
          <t>[T4 | Phase 4 | Claude (pending env)] Playwright/authenticated-API against running env. awaiting running staging URL + test accounts</t>
        </is>
      </c>
    </row>
    <row r="47" ht="43.25" customHeight="1" s="29">
      <c r="A47" s="36" t="inlineStr">
        <is>
          <t>MX-DEVICE-0045</t>
        </is>
      </c>
      <c r="B47" s="55" t="inlineStr">
        <is>
          <t>P2</t>
        </is>
      </c>
      <c r="C47" s="36" t="inlineStr">
        <is>
          <t>Frontend</t>
        </is>
      </c>
      <c r="D47" s="36" t="inlineStr">
        <is>
          <t>Diagnostic/Mock on Older Android (WebView)</t>
        </is>
      </c>
      <c r="E47" s="36" t="inlineStr">
        <is>
          <t>Confirms 'Diagnostic/Mock' works on 'Older Android (WebView)'. Indian students often use low-end and shared devices on weak networks; a screen that only works on a fast desktop excludes much of the market and breaks demos.</t>
        </is>
      </c>
      <c r="F47" s="36" t="inlineStr">
        <is>
          <t>Older Android (WebView) (or an accurate emulator) with a throttled connection option.</t>
        </is>
      </c>
      <c r="G47" s="36" t="inlineStr">
        <is>
          <t>1) Open 'Diagnostic/Mock' on Older Android (WebView). 2) Exercise its primary action. 3) Check layout, tap targets, Hindi rendering, and load behavior on a throttled network.</t>
        </is>
      </c>
      <c r="H47" s="36" t="inlineStr">
        <is>
          <t>'Diagnostic/Mock' is usable on Older Android (WebView): no broken layout, no unusable tap targets, readable text (incl. Hindi), acceptable load.</t>
        </is>
      </c>
      <c r="I47" s="36" t="inlineStr">
        <is>
          <t>Screenshot/recording on Older Android (WebView)</t>
        </is>
      </c>
      <c r="J47" s="41" t="inlineStr">
        <is>
          <t>NOT RUN</t>
        </is>
      </c>
      <c r="K47" s="36" t="inlineStr">
        <is>
          <t>Claude (pending env)</t>
        </is>
      </c>
      <c r="L47" s="36" t="n"/>
      <c r="M47" s="36" t="n"/>
      <c r="N47" s="36" t="inlineStr">
        <is>
          <t>[T4 | Phase 4 | Claude (pending env)] Playwright/authenticated-API against running env. awaiting running staging URL + test accounts</t>
        </is>
      </c>
    </row>
    <row r="48" ht="43.25" customHeight="1" s="29">
      <c r="A48" s="37" t="inlineStr">
        <is>
          <t>MX-DEVICE-0046</t>
        </is>
      </c>
      <c r="B48" s="55" t="inlineStr">
        <is>
          <t>P2</t>
        </is>
      </c>
      <c r="C48" s="37" t="inlineStr">
        <is>
          <t>Frontend</t>
        </is>
      </c>
      <c r="D48" s="37" t="inlineStr">
        <is>
          <t>Diagnostic/Mock on iOS Safari</t>
        </is>
      </c>
      <c r="E48" s="37" t="inlineStr">
        <is>
          <t>Confirms 'Diagnostic/Mock' works on 'iOS Safari'. Indian students often use low-end and shared devices on weak networks; a screen that only works on a fast desktop excludes much of the market and breaks demos.</t>
        </is>
      </c>
      <c r="F48" s="37" t="inlineStr">
        <is>
          <t>iOS Safari (or an accurate emulator) with a throttled connection option.</t>
        </is>
      </c>
      <c r="G48" s="37" t="inlineStr">
        <is>
          <t>1) Open 'Diagnostic/Mock' on iOS Safari. 2) Exercise its primary action. 3) Check layout, tap targets, Hindi rendering, and load behavior on a throttled network.</t>
        </is>
      </c>
      <c r="H48" s="37" t="inlineStr">
        <is>
          <t>'Diagnostic/Mock' is usable on iOS Safari: no broken layout, no unusable tap targets, readable text (incl. Hindi), acceptable load.</t>
        </is>
      </c>
      <c r="I48" s="37" t="inlineStr">
        <is>
          <t>Screenshot/recording on iOS Safari</t>
        </is>
      </c>
      <c r="J48" s="43" t="inlineStr">
        <is>
          <t>NOT RUN</t>
        </is>
      </c>
      <c r="K48" s="37" t="inlineStr">
        <is>
          <t>Claude (pending env)</t>
        </is>
      </c>
      <c r="L48" s="37" t="n"/>
      <c r="M48" s="37" t="n"/>
      <c r="N48" s="37" t="inlineStr">
        <is>
          <t>[T4 | Phase 4 | Claude (pending env)] Playwright/authenticated-API against running env. awaiting running staging URL + test accounts</t>
        </is>
      </c>
    </row>
    <row r="49" ht="43.25" customHeight="1" s="29">
      <c r="A49" s="36" t="inlineStr">
        <is>
          <t>MX-DEVICE-0047</t>
        </is>
      </c>
      <c r="B49" s="55" t="inlineStr">
        <is>
          <t>P2</t>
        </is>
      </c>
      <c r="C49" s="36" t="inlineStr">
        <is>
          <t>Frontend</t>
        </is>
      </c>
      <c r="D49" s="36" t="inlineStr">
        <is>
          <t>Diagnostic/Mock on Desktop Chrome</t>
        </is>
      </c>
      <c r="E49" s="36" t="inlineStr">
        <is>
          <t>Confirms 'Diagnostic/Mock' works on 'Desktop Chrome'. Indian students often use low-end and shared devices on weak networks; a screen that only works on a fast desktop excludes much of the market and breaks demos.</t>
        </is>
      </c>
      <c r="F49" s="36" t="inlineStr">
        <is>
          <t>Desktop Chrome (or an accurate emulator) with a throttled connection option.</t>
        </is>
      </c>
      <c r="G49" s="36" t="inlineStr">
        <is>
          <t>1) Open 'Diagnostic/Mock' on Desktop Chrome. 2) Exercise its primary action. 3) Check layout, tap targets, Hindi rendering, and load behavior on a throttled network.</t>
        </is>
      </c>
      <c r="H49" s="36" t="inlineStr">
        <is>
          <t>'Diagnostic/Mock' is usable on Desktop Chrome: no broken layout, no unusable tap targets, readable text (incl. Hindi), acceptable load.</t>
        </is>
      </c>
      <c r="I49" s="36" t="inlineStr">
        <is>
          <t>Screenshot/recording on Desktop Chrome</t>
        </is>
      </c>
      <c r="J49" s="41" t="inlineStr">
        <is>
          <t>NOT RUN</t>
        </is>
      </c>
      <c r="K49" s="36" t="inlineStr">
        <is>
          <t>Claude (pending env)</t>
        </is>
      </c>
      <c r="L49" s="36" t="n"/>
      <c r="M49" s="36" t="n"/>
      <c r="N49" s="36" t="inlineStr">
        <is>
          <t>[T4 | Phase 4 | Claude (pending env)] Playwright/authenticated-API against running env. awaiting running staging URL + test accounts</t>
        </is>
      </c>
    </row>
    <row r="50" ht="43.25" customHeight="1" s="29">
      <c r="A50" s="37" t="inlineStr">
        <is>
          <t>MX-DEVICE-0048</t>
        </is>
      </c>
      <c r="B50" s="55" t="inlineStr">
        <is>
          <t>P2</t>
        </is>
      </c>
      <c r="C50" s="37" t="inlineStr">
        <is>
          <t>Frontend</t>
        </is>
      </c>
      <c r="D50" s="37" t="inlineStr">
        <is>
          <t>Diagnostic/Mock on Desktop Safari</t>
        </is>
      </c>
      <c r="E50" s="37" t="inlineStr">
        <is>
          <t>Confirms 'Diagnostic/Mock' works on 'Desktop Safari'. Indian students often use low-end and shared devices on weak networks; a screen that only works on a fast desktop excludes much of the market and breaks demos.</t>
        </is>
      </c>
      <c r="F50" s="37" t="inlineStr">
        <is>
          <t>Desktop Safari (or an accurate emulator) with a throttled connection option.</t>
        </is>
      </c>
      <c r="G50" s="37" t="inlineStr">
        <is>
          <t>1) Open 'Diagnostic/Mock' on Desktop Safari. 2) Exercise its primary action. 3) Check layout, tap targets, Hindi rendering, and load behavior on a throttled network.</t>
        </is>
      </c>
      <c r="H50" s="37" t="inlineStr">
        <is>
          <t>'Diagnostic/Mock' is usable on Desktop Safari: no broken layout, no unusable tap targets, readable text (incl. Hindi), acceptable load.</t>
        </is>
      </c>
      <c r="I50" s="37" t="inlineStr">
        <is>
          <t>Screenshot/recording on Desktop Safari</t>
        </is>
      </c>
      <c r="J50" s="43" t="inlineStr">
        <is>
          <t>NOT RUN</t>
        </is>
      </c>
      <c r="K50" s="37" t="inlineStr">
        <is>
          <t>Claude (pending env)</t>
        </is>
      </c>
      <c r="L50" s="37" t="n"/>
      <c r="M50" s="37" t="n"/>
      <c r="N50" s="37" t="inlineStr">
        <is>
          <t>[T4 | Phase 4 | Claude (pending env)] Playwright/authenticated-API against running env. awaiting running staging URL + test accounts</t>
        </is>
      </c>
    </row>
    <row r="51" ht="43.25" customHeight="1" s="29">
      <c r="A51" s="36" t="inlineStr">
        <is>
          <t>MX-DEVICE-0049</t>
        </is>
      </c>
      <c r="B51" s="55" t="inlineStr">
        <is>
          <t>P2</t>
        </is>
      </c>
      <c r="C51" s="36" t="inlineStr">
        <is>
          <t>Frontend</t>
        </is>
      </c>
      <c r="D51" s="36" t="inlineStr">
        <is>
          <t>Diagnostic/Mock on Tablet (shared-device)</t>
        </is>
      </c>
      <c r="E51" s="36" t="inlineStr">
        <is>
          <t>Confirms 'Diagnostic/Mock' works on 'Tablet (shared-device)'. Indian students often use low-end and shared devices on weak networks; a screen that only works on a fast desktop excludes much of the market and breaks demos.</t>
        </is>
      </c>
      <c r="F51" s="36" t="inlineStr">
        <is>
          <t>Tablet (shared-device) (or an accurate emulator) with a throttled connection option.</t>
        </is>
      </c>
      <c r="G51" s="36" t="inlineStr">
        <is>
          <t>1) Open 'Diagnostic/Mock' on Tablet (shared-device). 2) Exercise its primary action. 3) Check layout, tap targets, Hindi rendering, and load behavior on a throttled network.</t>
        </is>
      </c>
      <c r="H51" s="36" t="inlineStr">
        <is>
          <t>'Diagnostic/Mock' is usable on Tablet (shared-device): no broken layout, no unusable tap targets, readable text (incl. Hindi), acceptable load.</t>
        </is>
      </c>
      <c r="I51" s="36" t="inlineStr">
        <is>
          <t>Screenshot/recording on Tablet (shared-device)</t>
        </is>
      </c>
      <c r="J51" s="41" t="inlineStr">
        <is>
          <t>NOT RUN</t>
        </is>
      </c>
      <c r="K51" s="36" t="inlineStr">
        <is>
          <t>Claude (pending env)</t>
        </is>
      </c>
      <c r="L51" s="36" t="n"/>
      <c r="M51" s="36" t="n"/>
      <c r="N51" s="36" t="inlineStr">
        <is>
          <t>[T4 | Phase 4 | Claude (pending env)] Playwright/authenticated-API against running env. awaiting running staging URL + test accounts</t>
        </is>
      </c>
    </row>
    <row r="52" ht="43.25" customHeight="1" s="29">
      <c r="A52" s="37" t="inlineStr">
        <is>
          <t>MX-DEVICE-0050</t>
        </is>
      </c>
      <c r="B52" s="55" t="inlineStr">
        <is>
          <t>P2</t>
        </is>
      </c>
      <c r="C52" s="37" t="inlineStr">
        <is>
          <t>Frontend</t>
        </is>
      </c>
      <c r="D52" s="37" t="inlineStr">
        <is>
          <t>Parent report on Low-end Android (Chrome)</t>
        </is>
      </c>
      <c r="E52" s="37" t="inlineStr">
        <is>
          <t>Confirms 'Parent report' works on 'Low-end Android (Chrome)'. Indian students often use low-end and shared devices on weak networks; a screen that only works on a fast desktop excludes much of the market and breaks demos.</t>
        </is>
      </c>
      <c r="F52" s="37" t="inlineStr">
        <is>
          <t>Low-end Android (Chrome) (or an accurate emulator) with a throttled connection option.</t>
        </is>
      </c>
      <c r="G52" s="37" t="inlineStr">
        <is>
          <t>1) Open 'Parent report' on Low-end Android (Chrome). 2) Exercise its primary action. 3) Check layout, tap targets, Hindi rendering, and load behavior on a throttled network.</t>
        </is>
      </c>
      <c r="H52" s="37" t="inlineStr">
        <is>
          <t>'Parent report' is usable on Low-end Android (Chrome): no broken layout, no unusable tap targets, readable text (incl. Hindi), acceptable load.</t>
        </is>
      </c>
      <c r="I52" s="37" t="inlineStr">
        <is>
          <t>Screenshot/recording on Low-end Android (Chrome)</t>
        </is>
      </c>
      <c r="J52" s="43" t="inlineStr">
        <is>
          <t>NOT RUN</t>
        </is>
      </c>
      <c r="K52" s="37" t="inlineStr">
        <is>
          <t>Claude (pending env)</t>
        </is>
      </c>
      <c r="L52" s="37" t="n"/>
      <c r="M52" s="37" t="n"/>
      <c r="N52" s="37" t="inlineStr">
        <is>
          <t>[T4 | Phase 4 | Claude (pending env)] Playwright/authenticated-API against running env. awaiting running staging URL + test accounts</t>
        </is>
      </c>
    </row>
    <row r="53" ht="43.25" customHeight="1" s="29">
      <c r="A53" s="36" t="inlineStr">
        <is>
          <t>MX-DEVICE-0051</t>
        </is>
      </c>
      <c r="B53" s="55" t="inlineStr">
        <is>
          <t>P2</t>
        </is>
      </c>
      <c r="C53" s="36" t="inlineStr">
        <is>
          <t>Frontend</t>
        </is>
      </c>
      <c r="D53" s="36" t="inlineStr">
        <is>
          <t>Parent report on Mid Android (Chrome)</t>
        </is>
      </c>
      <c r="E53" s="36" t="inlineStr">
        <is>
          <t>Confirms 'Parent report' works on 'Mid Android (Chrome)'. Indian students often use low-end and shared devices on weak networks; a screen that only works on a fast desktop excludes much of the market and breaks demos.</t>
        </is>
      </c>
      <c r="F53" s="36" t="inlineStr">
        <is>
          <t>Mid Android (Chrome) (or an accurate emulator) with a throttled connection option.</t>
        </is>
      </c>
      <c r="G53" s="36" t="inlineStr">
        <is>
          <t>1) Open 'Parent report' on Mid Android (Chrome). 2) Exercise its primary action. 3) Check layout, tap targets, Hindi rendering, and load behavior on a throttled network.</t>
        </is>
      </c>
      <c r="H53" s="36" t="inlineStr">
        <is>
          <t>'Parent report' is usable on Mid Android (Chrome): no broken layout, no unusable tap targets, readable text (incl. Hindi), acceptable load.</t>
        </is>
      </c>
      <c r="I53" s="36" t="inlineStr">
        <is>
          <t>Screenshot/recording on Mid Android (Chrome)</t>
        </is>
      </c>
      <c r="J53" s="41" t="inlineStr">
        <is>
          <t>NOT RUN</t>
        </is>
      </c>
      <c r="K53" s="36" t="inlineStr">
        <is>
          <t>Claude (pending env)</t>
        </is>
      </c>
      <c r="L53" s="36" t="n"/>
      <c r="M53" s="36" t="n"/>
      <c r="N53" s="36" t="inlineStr">
        <is>
          <t>[T4 | Phase 4 | Claude (pending env)] Playwright/authenticated-API against running env. awaiting running staging URL + test accounts</t>
        </is>
      </c>
    </row>
    <row r="54" ht="43.25" customHeight="1" s="29">
      <c r="A54" s="37" t="inlineStr">
        <is>
          <t>MX-DEVICE-0052</t>
        </is>
      </c>
      <c r="B54" s="55" t="inlineStr">
        <is>
          <t>P2</t>
        </is>
      </c>
      <c r="C54" s="37" t="inlineStr">
        <is>
          <t>Frontend</t>
        </is>
      </c>
      <c r="D54" s="37" t="inlineStr">
        <is>
          <t>Parent report on Older Android (WebView)</t>
        </is>
      </c>
      <c r="E54" s="37" t="inlineStr">
        <is>
          <t>Confirms 'Parent report' works on 'Older Android (WebView)'. Indian students often use low-end and shared devices on weak networks; a screen that only works on a fast desktop excludes much of the market and breaks demos.</t>
        </is>
      </c>
      <c r="F54" s="37" t="inlineStr">
        <is>
          <t>Older Android (WebView) (or an accurate emulator) with a throttled connection option.</t>
        </is>
      </c>
      <c r="G54" s="37" t="inlineStr">
        <is>
          <t>1) Open 'Parent report' on Older Android (WebView). 2) Exercise its primary action. 3) Check layout, tap targets, Hindi rendering, and load behavior on a throttled network.</t>
        </is>
      </c>
      <c r="H54" s="37" t="inlineStr">
        <is>
          <t>'Parent report' is usable on Older Android (WebView): no broken layout, no unusable tap targets, readable text (incl. Hindi), acceptable load.</t>
        </is>
      </c>
      <c r="I54" s="37" t="inlineStr">
        <is>
          <t>Screenshot/recording on Older Android (WebView)</t>
        </is>
      </c>
      <c r="J54" s="43" t="inlineStr">
        <is>
          <t>NOT RUN</t>
        </is>
      </c>
      <c r="K54" s="37" t="inlineStr">
        <is>
          <t>Claude (pending env)</t>
        </is>
      </c>
      <c r="L54" s="37" t="n"/>
      <c r="M54" s="37" t="n"/>
      <c r="N54" s="37" t="inlineStr">
        <is>
          <t>[T4 | Phase 4 | Claude (pending env)] Playwright/authenticated-API against running env. awaiting running staging URL + test accounts</t>
        </is>
      </c>
    </row>
    <row r="55" ht="43.25" customHeight="1" s="29">
      <c r="A55" s="36" t="inlineStr">
        <is>
          <t>MX-DEVICE-0053</t>
        </is>
      </c>
      <c r="B55" s="55" t="inlineStr">
        <is>
          <t>P2</t>
        </is>
      </c>
      <c r="C55" s="36" t="inlineStr">
        <is>
          <t>Frontend</t>
        </is>
      </c>
      <c r="D55" s="36" t="inlineStr">
        <is>
          <t>Parent report on iOS Safari</t>
        </is>
      </c>
      <c r="E55" s="36" t="inlineStr">
        <is>
          <t>Confirms 'Parent report' works on 'iOS Safari'. Indian students often use low-end and shared devices on weak networks; a screen that only works on a fast desktop excludes much of the market and breaks demos.</t>
        </is>
      </c>
      <c r="F55" s="36" t="inlineStr">
        <is>
          <t>iOS Safari (or an accurate emulator) with a throttled connection option.</t>
        </is>
      </c>
      <c r="G55" s="36" t="inlineStr">
        <is>
          <t>1) Open 'Parent report' on iOS Safari. 2) Exercise its primary action. 3) Check layout, tap targets, Hindi rendering, and load behavior on a throttled network.</t>
        </is>
      </c>
      <c r="H55" s="36" t="inlineStr">
        <is>
          <t>'Parent report' is usable on iOS Safari: no broken layout, no unusable tap targets, readable text (incl. Hindi), acceptable load.</t>
        </is>
      </c>
      <c r="I55" s="36" t="inlineStr">
        <is>
          <t>Screenshot/recording on iOS Safari</t>
        </is>
      </c>
      <c r="J55" s="41" t="inlineStr">
        <is>
          <t>NOT RUN</t>
        </is>
      </c>
      <c r="K55" s="36" t="inlineStr">
        <is>
          <t>Claude (pending env)</t>
        </is>
      </c>
      <c r="L55" s="36" t="n"/>
      <c r="M55" s="36" t="n"/>
      <c r="N55" s="36" t="inlineStr">
        <is>
          <t>[T4 | Phase 4 | Claude (pending env)] Playwright/authenticated-API against running env. awaiting running staging URL + test accounts</t>
        </is>
      </c>
    </row>
    <row r="56" ht="43.25" customHeight="1" s="29">
      <c r="A56" s="37" t="inlineStr">
        <is>
          <t>MX-DEVICE-0054</t>
        </is>
      </c>
      <c r="B56" s="55" t="inlineStr">
        <is>
          <t>P2</t>
        </is>
      </c>
      <c r="C56" s="37" t="inlineStr">
        <is>
          <t>Frontend</t>
        </is>
      </c>
      <c r="D56" s="37" t="inlineStr">
        <is>
          <t>Parent report on Desktop Chrome</t>
        </is>
      </c>
      <c r="E56" s="37" t="inlineStr">
        <is>
          <t>Confirms 'Parent report' works on 'Desktop Chrome'. Indian students often use low-end and shared devices on weak networks; a screen that only works on a fast desktop excludes much of the market and breaks demos.</t>
        </is>
      </c>
      <c r="F56" s="37" t="inlineStr">
        <is>
          <t>Desktop Chrome (or an accurate emulator) with a throttled connection option.</t>
        </is>
      </c>
      <c r="G56" s="37" t="inlineStr">
        <is>
          <t>1) Open 'Parent report' on Desktop Chrome. 2) Exercise its primary action. 3) Check layout, tap targets, Hindi rendering, and load behavior on a throttled network.</t>
        </is>
      </c>
      <c r="H56" s="37" t="inlineStr">
        <is>
          <t>'Parent report' is usable on Desktop Chrome: no broken layout, no unusable tap targets, readable text (incl. Hindi), acceptable load.</t>
        </is>
      </c>
      <c r="I56" s="37" t="inlineStr">
        <is>
          <t>Screenshot/recording on Desktop Chrome</t>
        </is>
      </c>
      <c r="J56" s="43" t="inlineStr">
        <is>
          <t>NOT RUN</t>
        </is>
      </c>
      <c r="K56" s="37" t="inlineStr">
        <is>
          <t>Claude (pending env)</t>
        </is>
      </c>
      <c r="L56" s="37" t="n"/>
      <c r="M56" s="37" t="n"/>
      <c r="N56" s="37" t="inlineStr">
        <is>
          <t>[T4 | Phase 4 | Claude (pending env)] Playwright/authenticated-API against running env. awaiting running staging URL + test accounts</t>
        </is>
      </c>
    </row>
    <row r="57" ht="43.25" customHeight="1" s="29">
      <c r="A57" s="36" t="inlineStr">
        <is>
          <t>MX-DEVICE-0055</t>
        </is>
      </c>
      <c r="B57" s="55" t="inlineStr">
        <is>
          <t>P2</t>
        </is>
      </c>
      <c r="C57" s="36" t="inlineStr">
        <is>
          <t>Frontend</t>
        </is>
      </c>
      <c r="D57" s="36" t="inlineStr">
        <is>
          <t>Parent report on Desktop Safari</t>
        </is>
      </c>
      <c r="E57" s="36" t="inlineStr">
        <is>
          <t>Confirms 'Parent report' works on 'Desktop Safari'. Indian students often use low-end and shared devices on weak networks; a screen that only works on a fast desktop excludes much of the market and breaks demos.</t>
        </is>
      </c>
      <c r="F57" s="36" t="inlineStr">
        <is>
          <t>Desktop Safari (or an accurate emulator) with a throttled connection option.</t>
        </is>
      </c>
      <c r="G57" s="36" t="inlineStr">
        <is>
          <t>1) Open 'Parent report' on Desktop Safari. 2) Exercise its primary action. 3) Check layout, tap targets, Hindi rendering, and load behavior on a throttled network.</t>
        </is>
      </c>
      <c r="H57" s="36" t="inlineStr">
        <is>
          <t>'Parent report' is usable on Desktop Safari: no broken layout, no unusable tap targets, readable text (incl. Hindi), acceptable load.</t>
        </is>
      </c>
      <c r="I57" s="36" t="inlineStr">
        <is>
          <t>Screenshot/recording on Desktop Safari</t>
        </is>
      </c>
      <c r="J57" s="41" t="inlineStr">
        <is>
          <t>NOT RUN</t>
        </is>
      </c>
      <c r="K57" s="36" t="inlineStr">
        <is>
          <t>Claude (pending env)</t>
        </is>
      </c>
      <c r="L57" s="36" t="n"/>
      <c r="M57" s="36" t="n"/>
      <c r="N57" s="36" t="inlineStr">
        <is>
          <t>[T4 | Phase 4 | Claude (pending env)] Playwright/authenticated-API against running env. awaiting running staging URL + test accounts</t>
        </is>
      </c>
    </row>
    <row r="58" ht="43.25" customHeight="1" s="29">
      <c r="A58" s="37" t="inlineStr">
        <is>
          <t>MX-DEVICE-0056</t>
        </is>
      </c>
      <c r="B58" s="55" t="inlineStr">
        <is>
          <t>P2</t>
        </is>
      </c>
      <c r="C58" s="37" t="inlineStr">
        <is>
          <t>Frontend</t>
        </is>
      </c>
      <c r="D58" s="37" t="inlineStr">
        <is>
          <t>Parent report on Tablet (shared-device)</t>
        </is>
      </c>
      <c r="E58" s="37" t="inlineStr">
        <is>
          <t>Confirms 'Parent report' works on 'Tablet (shared-device)'. Indian students often use low-end and shared devices on weak networks; a screen that only works on a fast desktop excludes much of the market and breaks demos.</t>
        </is>
      </c>
      <c r="F58" s="37" t="inlineStr">
        <is>
          <t>Tablet (shared-device) (or an accurate emulator) with a throttled connection option.</t>
        </is>
      </c>
      <c r="G58" s="37" t="inlineStr">
        <is>
          <t>1) Open 'Parent report' on Tablet (shared-device). 2) Exercise its primary action. 3) Check layout, tap targets, Hindi rendering, and load behavior on a throttled network.</t>
        </is>
      </c>
      <c r="H58" s="37" t="inlineStr">
        <is>
          <t>'Parent report' is usable on Tablet (shared-device): no broken layout, no unusable tap targets, readable text (incl. Hindi), acceptable load.</t>
        </is>
      </c>
      <c r="I58" s="37" t="inlineStr">
        <is>
          <t>Screenshot/recording on Tablet (shared-device)</t>
        </is>
      </c>
      <c r="J58" s="43" t="inlineStr">
        <is>
          <t>NOT RUN</t>
        </is>
      </c>
      <c r="K58" s="37" t="inlineStr">
        <is>
          <t>Claude (pending env)</t>
        </is>
      </c>
      <c r="L58" s="37" t="n"/>
      <c r="M58" s="37" t="n"/>
      <c r="N58" s="37" t="inlineStr">
        <is>
          <t>[T4 | Phase 4 | Claude (pending env)] Playwright/authenticated-API against running env. awaiting running staging URL + test accounts</t>
        </is>
      </c>
    </row>
    <row r="59" ht="43.25" customHeight="1" s="29">
      <c r="A59" s="36" t="inlineStr">
        <is>
          <t>MX-DEVICE-0057</t>
        </is>
      </c>
      <c r="B59" s="55" t="inlineStr">
        <is>
          <t>P2</t>
        </is>
      </c>
      <c r="C59" s="36" t="inlineStr">
        <is>
          <t>Frontend</t>
        </is>
      </c>
      <c r="D59" s="36" t="inlineStr">
        <is>
          <t>Teacher heatmap on Low-end Android (Chrome)</t>
        </is>
      </c>
      <c r="E59" s="36" t="inlineStr">
        <is>
          <t>Confirms 'Teacher heatmap' works on 'Low-end Android (Chrome)'. Indian students often use low-end and shared devices on weak networks; a screen that only works on a fast desktop excludes much of the market and breaks demos.</t>
        </is>
      </c>
      <c r="F59" s="36" t="inlineStr">
        <is>
          <t>Low-end Android (Chrome) (or an accurate emulator) with a throttled connection option.</t>
        </is>
      </c>
      <c r="G59" s="36" t="inlineStr">
        <is>
          <t>1) Open 'Teacher heatmap' on Low-end Android (Chrome). 2) Exercise its primary action. 3) Check layout, tap targets, Hindi rendering, and load behavior on a throttled network.</t>
        </is>
      </c>
      <c r="H59" s="36" t="inlineStr">
        <is>
          <t>'Teacher heatmap' is usable on Low-end Android (Chrome): no broken layout, no unusable tap targets, readable text (incl. Hindi), acceptable load.</t>
        </is>
      </c>
      <c r="I59" s="36" t="inlineStr">
        <is>
          <t>Screenshot/recording on Low-end Android (Chrome)</t>
        </is>
      </c>
      <c r="J59" s="41" t="inlineStr">
        <is>
          <t>NOT RUN</t>
        </is>
      </c>
      <c r="K59" s="36" t="inlineStr">
        <is>
          <t>Claude (pending env)</t>
        </is>
      </c>
      <c r="L59" s="36" t="n"/>
      <c r="M59" s="36" t="n"/>
      <c r="N59" s="36" t="inlineStr">
        <is>
          <t>[T4 | Phase 4 | Claude (pending env)] Playwright/authenticated-API against running env. awaiting running staging URL + test accounts</t>
        </is>
      </c>
    </row>
    <row r="60" ht="43.25" customHeight="1" s="29">
      <c r="A60" s="37" t="inlineStr">
        <is>
          <t>MX-DEVICE-0058</t>
        </is>
      </c>
      <c r="B60" s="55" t="inlineStr">
        <is>
          <t>P2</t>
        </is>
      </c>
      <c r="C60" s="37" t="inlineStr">
        <is>
          <t>Frontend</t>
        </is>
      </c>
      <c r="D60" s="37" t="inlineStr">
        <is>
          <t>Teacher heatmap on Mid Android (Chrome)</t>
        </is>
      </c>
      <c r="E60" s="37" t="inlineStr">
        <is>
          <t>Confirms 'Teacher heatmap' works on 'Mid Android (Chrome)'. Indian students often use low-end and shared devices on weak networks; a screen that only works on a fast desktop excludes much of the market and breaks demos.</t>
        </is>
      </c>
      <c r="F60" s="37" t="inlineStr">
        <is>
          <t>Mid Android (Chrome) (or an accurate emulator) with a throttled connection option.</t>
        </is>
      </c>
      <c r="G60" s="37" t="inlineStr">
        <is>
          <t>1) Open 'Teacher heatmap' on Mid Android (Chrome). 2) Exercise its primary action. 3) Check layout, tap targets, Hindi rendering, and load behavior on a throttled network.</t>
        </is>
      </c>
      <c r="H60" s="37" t="inlineStr">
        <is>
          <t>'Teacher heatmap' is usable on Mid Android (Chrome): no broken layout, no unusable tap targets, readable text (incl. Hindi), acceptable load.</t>
        </is>
      </c>
      <c r="I60" s="37" t="inlineStr">
        <is>
          <t>Screenshot/recording on Mid Android (Chrome)</t>
        </is>
      </c>
      <c r="J60" s="43" t="inlineStr">
        <is>
          <t>NOT RUN</t>
        </is>
      </c>
      <c r="K60" s="37" t="inlineStr">
        <is>
          <t>Claude (pending env)</t>
        </is>
      </c>
      <c r="L60" s="37" t="n"/>
      <c r="M60" s="37" t="n"/>
      <c r="N60" s="37" t="inlineStr">
        <is>
          <t>[T4 | Phase 4 | Claude (pending env)] Playwright/authenticated-API against running env. awaiting running staging URL + test accounts</t>
        </is>
      </c>
    </row>
    <row r="61" ht="43.25" customHeight="1" s="29">
      <c r="A61" s="36" t="inlineStr">
        <is>
          <t>MX-DEVICE-0059</t>
        </is>
      </c>
      <c r="B61" s="55" t="inlineStr">
        <is>
          <t>P2</t>
        </is>
      </c>
      <c r="C61" s="36" t="inlineStr">
        <is>
          <t>Frontend</t>
        </is>
      </c>
      <c r="D61" s="36" t="inlineStr">
        <is>
          <t>Teacher heatmap on Older Android (WebView)</t>
        </is>
      </c>
      <c r="E61" s="36" t="inlineStr">
        <is>
          <t>Confirms 'Teacher heatmap' works on 'Older Android (WebView)'. Indian students often use low-end and shared devices on weak networks; a screen that only works on a fast desktop excludes much of the market and breaks demos.</t>
        </is>
      </c>
      <c r="F61" s="36" t="inlineStr">
        <is>
          <t>Older Android (WebView) (or an accurate emulator) with a throttled connection option.</t>
        </is>
      </c>
      <c r="G61" s="36" t="inlineStr">
        <is>
          <t>1) Open 'Teacher heatmap' on Older Android (WebView). 2) Exercise its primary action. 3) Check layout, tap targets, Hindi rendering, and load behavior on a throttled network.</t>
        </is>
      </c>
      <c r="H61" s="36" t="inlineStr">
        <is>
          <t>'Teacher heatmap' is usable on Older Android (WebView): no broken layout, no unusable tap targets, readable text (incl. Hindi), acceptable load.</t>
        </is>
      </c>
      <c r="I61" s="36" t="inlineStr">
        <is>
          <t>Screenshot/recording on Older Android (WebView)</t>
        </is>
      </c>
      <c r="J61" s="41" t="inlineStr">
        <is>
          <t>NOT RUN</t>
        </is>
      </c>
      <c r="K61" s="36" t="inlineStr">
        <is>
          <t>Claude (pending env)</t>
        </is>
      </c>
      <c r="L61" s="36" t="n"/>
      <c r="M61" s="36" t="n"/>
      <c r="N61" s="36" t="inlineStr">
        <is>
          <t>[T4 | Phase 4 | Claude (pending env)] Playwright/authenticated-API against running env. awaiting running staging URL + test accounts</t>
        </is>
      </c>
    </row>
    <row r="62" ht="43.25" customHeight="1" s="29">
      <c r="A62" s="37" t="inlineStr">
        <is>
          <t>MX-DEVICE-0060</t>
        </is>
      </c>
      <c r="B62" s="55" t="inlineStr">
        <is>
          <t>P2</t>
        </is>
      </c>
      <c r="C62" s="37" t="inlineStr">
        <is>
          <t>Frontend</t>
        </is>
      </c>
      <c r="D62" s="37" t="inlineStr">
        <is>
          <t>Teacher heatmap on iOS Safari</t>
        </is>
      </c>
      <c r="E62" s="37" t="inlineStr">
        <is>
          <t>Confirms 'Teacher heatmap' works on 'iOS Safari'. Indian students often use low-end and shared devices on weak networks; a screen that only works on a fast desktop excludes much of the market and breaks demos.</t>
        </is>
      </c>
      <c r="F62" s="37" t="inlineStr">
        <is>
          <t>iOS Safari (or an accurate emulator) with a throttled connection option.</t>
        </is>
      </c>
      <c r="G62" s="37" t="inlineStr">
        <is>
          <t>1) Open 'Teacher heatmap' on iOS Safari. 2) Exercise its primary action. 3) Check layout, tap targets, Hindi rendering, and load behavior on a throttled network.</t>
        </is>
      </c>
      <c r="H62" s="37" t="inlineStr">
        <is>
          <t>'Teacher heatmap' is usable on iOS Safari: no broken layout, no unusable tap targets, readable text (incl. Hindi), acceptable load.</t>
        </is>
      </c>
      <c r="I62" s="37" t="inlineStr">
        <is>
          <t>Screenshot/recording on iOS Safari</t>
        </is>
      </c>
      <c r="J62" s="43" t="inlineStr">
        <is>
          <t>NOT RUN</t>
        </is>
      </c>
      <c r="K62" s="37" t="inlineStr">
        <is>
          <t>Claude (pending env)</t>
        </is>
      </c>
      <c r="L62" s="37" t="n"/>
      <c r="M62" s="37" t="n"/>
      <c r="N62" s="37" t="inlineStr">
        <is>
          <t>[T4 | Phase 4 | Claude (pending env)] Playwright/authenticated-API against running env. awaiting running staging URL + test accounts</t>
        </is>
      </c>
    </row>
    <row r="63" ht="43.25" customHeight="1" s="29">
      <c r="A63" s="36" t="inlineStr">
        <is>
          <t>MX-DEVICE-0061</t>
        </is>
      </c>
      <c r="B63" s="55" t="inlineStr">
        <is>
          <t>P2</t>
        </is>
      </c>
      <c r="C63" s="36" t="inlineStr">
        <is>
          <t>Frontend</t>
        </is>
      </c>
      <c r="D63" s="36" t="inlineStr">
        <is>
          <t>Teacher heatmap on Desktop Chrome</t>
        </is>
      </c>
      <c r="E63" s="36" t="inlineStr">
        <is>
          <t>Confirms 'Teacher heatmap' works on 'Desktop Chrome'. Indian students often use low-end and shared devices on weak networks; a screen that only works on a fast desktop excludes much of the market and breaks demos.</t>
        </is>
      </c>
      <c r="F63" s="36" t="inlineStr">
        <is>
          <t>Desktop Chrome (or an accurate emulator) with a throttled connection option.</t>
        </is>
      </c>
      <c r="G63" s="36" t="inlineStr">
        <is>
          <t>1) Open 'Teacher heatmap' on Desktop Chrome. 2) Exercise its primary action. 3) Check layout, tap targets, Hindi rendering, and load behavior on a throttled network.</t>
        </is>
      </c>
      <c r="H63" s="36" t="inlineStr">
        <is>
          <t>'Teacher heatmap' is usable on Desktop Chrome: no broken layout, no unusable tap targets, readable text (incl. Hindi), acceptable load.</t>
        </is>
      </c>
      <c r="I63" s="36" t="inlineStr">
        <is>
          <t>Screenshot/recording on Desktop Chrome</t>
        </is>
      </c>
      <c r="J63" s="41" t="inlineStr">
        <is>
          <t>NOT RUN</t>
        </is>
      </c>
      <c r="K63" s="36" t="inlineStr">
        <is>
          <t>Claude (pending env)</t>
        </is>
      </c>
      <c r="L63" s="36" t="n"/>
      <c r="M63" s="36" t="n"/>
      <c r="N63" s="36" t="inlineStr">
        <is>
          <t>[T4 | Phase 4 | Claude (pending env)] Playwright/authenticated-API against running env. awaiting running staging URL + test accounts</t>
        </is>
      </c>
    </row>
    <row r="64" ht="43.25" customHeight="1" s="29">
      <c r="A64" s="37" t="inlineStr">
        <is>
          <t>MX-DEVICE-0062</t>
        </is>
      </c>
      <c r="B64" s="55" t="inlineStr">
        <is>
          <t>P2</t>
        </is>
      </c>
      <c r="C64" s="37" t="inlineStr">
        <is>
          <t>Frontend</t>
        </is>
      </c>
      <c r="D64" s="37" t="inlineStr">
        <is>
          <t>Teacher heatmap on Desktop Safari</t>
        </is>
      </c>
      <c r="E64" s="37" t="inlineStr">
        <is>
          <t>Confirms 'Teacher heatmap' works on 'Desktop Safari'. Indian students often use low-end and shared devices on weak networks; a screen that only works on a fast desktop excludes much of the market and breaks demos.</t>
        </is>
      </c>
      <c r="F64" s="37" t="inlineStr">
        <is>
          <t>Desktop Safari (or an accurate emulator) with a throttled connection option.</t>
        </is>
      </c>
      <c r="G64" s="37" t="inlineStr">
        <is>
          <t>1) Open 'Teacher heatmap' on Desktop Safari. 2) Exercise its primary action. 3) Check layout, tap targets, Hindi rendering, and load behavior on a throttled network.</t>
        </is>
      </c>
      <c r="H64" s="37" t="inlineStr">
        <is>
          <t>'Teacher heatmap' is usable on Desktop Safari: no broken layout, no unusable tap targets, readable text (incl. Hindi), acceptable load.</t>
        </is>
      </c>
      <c r="I64" s="37" t="inlineStr">
        <is>
          <t>Screenshot/recording on Desktop Safari</t>
        </is>
      </c>
      <c r="J64" s="43" t="inlineStr">
        <is>
          <t>NOT RUN</t>
        </is>
      </c>
      <c r="K64" s="37" t="inlineStr">
        <is>
          <t>Claude (pending env)</t>
        </is>
      </c>
      <c r="L64" s="37" t="n"/>
      <c r="M64" s="37" t="n"/>
      <c r="N64" s="37" t="inlineStr">
        <is>
          <t>[T4 | Phase 4 | Claude (pending env)] Playwright/authenticated-API against running env. awaiting running staging URL + test accounts</t>
        </is>
      </c>
    </row>
    <row r="65" ht="43.25" customHeight="1" s="29">
      <c r="A65" s="36" t="inlineStr">
        <is>
          <t>MX-DEVICE-0063</t>
        </is>
      </c>
      <c r="B65" s="55" t="inlineStr">
        <is>
          <t>P2</t>
        </is>
      </c>
      <c r="C65" s="36" t="inlineStr">
        <is>
          <t>Frontend</t>
        </is>
      </c>
      <c r="D65" s="36" t="inlineStr">
        <is>
          <t>Teacher heatmap on Tablet (shared-device)</t>
        </is>
      </c>
      <c r="E65" s="36" t="inlineStr">
        <is>
          <t>Confirms 'Teacher heatmap' works on 'Tablet (shared-device)'. Indian students often use low-end and shared devices on weak networks; a screen that only works on a fast desktop excludes much of the market and breaks demos.</t>
        </is>
      </c>
      <c r="F65" s="36" t="inlineStr">
        <is>
          <t>Tablet (shared-device) (or an accurate emulator) with a throttled connection option.</t>
        </is>
      </c>
      <c r="G65" s="36" t="inlineStr">
        <is>
          <t>1) Open 'Teacher heatmap' on Tablet (shared-device). 2) Exercise its primary action. 3) Check layout, tap targets, Hindi rendering, and load behavior on a throttled network.</t>
        </is>
      </c>
      <c r="H65" s="36" t="inlineStr">
        <is>
          <t>'Teacher heatmap' is usable on Tablet (shared-device): no broken layout, no unusable tap targets, readable text (incl. Hindi), acceptable load.</t>
        </is>
      </c>
      <c r="I65" s="36" t="inlineStr">
        <is>
          <t>Screenshot/recording on Tablet (shared-device)</t>
        </is>
      </c>
      <c r="J65" s="41" t="inlineStr">
        <is>
          <t>NOT RUN</t>
        </is>
      </c>
      <c r="K65" s="36" t="inlineStr">
        <is>
          <t>Claude (pending env)</t>
        </is>
      </c>
      <c r="L65" s="36" t="n"/>
      <c r="M65" s="36" t="n"/>
      <c r="N65" s="36" t="inlineStr">
        <is>
          <t>[T4 | Phase 4 | Claude (pending env)] Playwright/authenticated-API against running env. awaiting running staging URL + test accounts</t>
        </is>
      </c>
    </row>
    <row r="66" ht="43.25" customHeight="1" s="29">
      <c r="A66" s="37" t="inlineStr">
        <is>
          <t>MX-DEVICE-0064</t>
        </is>
      </c>
      <c r="B66" s="55" t="inlineStr">
        <is>
          <t>P2</t>
        </is>
      </c>
      <c r="C66" s="37" t="inlineStr">
        <is>
          <t>Frontend</t>
        </is>
      </c>
      <c r="D66" s="37" t="inlineStr">
        <is>
          <t>School admin console on Low-end Android (Chrome)</t>
        </is>
      </c>
      <c r="E66" s="37" t="inlineStr">
        <is>
          <t>Confirms 'School admin console' works on 'Low-end Android (Chrome)'. Indian students often use low-end and shared devices on weak networks; a screen that only works on a fast desktop excludes much of the market and breaks demos.</t>
        </is>
      </c>
      <c r="F66" s="37" t="inlineStr">
        <is>
          <t>Low-end Android (Chrome) (or an accurate emulator) with a throttled connection option.</t>
        </is>
      </c>
      <c r="G66" s="37" t="inlineStr">
        <is>
          <t>1) Open 'School admin console' on Low-end Android (Chrome). 2) Exercise its primary action. 3) Check layout, tap targets, Hindi rendering, and load behavior on a throttled network.</t>
        </is>
      </c>
      <c r="H66" s="37" t="inlineStr">
        <is>
          <t>'School admin console' is usable on Low-end Android (Chrome): no broken layout, no unusable tap targets, readable text (incl. Hindi), acceptable load.</t>
        </is>
      </c>
      <c r="I66" s="37" t="inlineStr">
        <is>
          <t>Screenshot/recording on Low-end Android (Chrome)</t>
        </is>
      </c>
      <c r="J66" s="43" t="inlineStr">
        <is>
          <t>NOT RUN</t>
        </is>
      </c>
      <c r="K66" s="37" t="inlineStr">
        <is>
          <t>Claude (pending env)</t>
        </is>
      </c>
      <c r="L66" s="37" t="n"/>
      <c r="M66" s="37" t="n"/>
      <c r="N66" s="37" t="inlineStr">
        <is>
          <t>[T4 | Phase 4 | Claude (pending env)] Playwright/authenticated-API against running env. awaiting running staging URL + test accounts</t>
        </is>
      </c>
    </row>
    <row r="67" ht="43.25" customHeight="1" s="29">
      <c r="A67" s="36" t="inlineStr">
        <is>
          <t>MX-DEVICE-0065</t>
        </is>
      </c>
      <c r="B67" s="55" t="inlineStr">
        <is>
          <t>P2</t>
        </is>
      </c>
      <c r="C67" s="36" t="inlineStr">
        <is>
          <t>Frontend</t>
        </is>
      </c>
      <c r="D67" s="36" t="inlineStr">
        <is>
          <t>School admin console on Mid Android (Chrome)</t>
        </is>
      </c>
      <c r="E67" s="36" t="inlineStr">
        <is>
          <t>Confirms 'School admin console' works on 'Mid Android (Chrome)'. Indian students often use low-end and shared devices on weak networks; a screen that only works on a fast desktop excludes much of the market and breaks demos.</t>
        </is>
      </c>
      <c r="F67" s="36" t="inlineStr">
        <is>
          <t>Mid Android (Chrome) (or an accurate emulator) with a throttled connection option.</t>
        </is>
      </c>
      <c r="G67" s="36" t="inlineStr">
        <is>
          <t>1) Open 'School admin console' on Mid Android (Chrome). 2) Exercise its primary action. 3) Check layout, tap targets, Hindi rendering, and load behavior on a throttled network.</t>
        </is>
      </c>
      <c r="H67" s="36" t="inlineStr">
        <is>
          <t>'School admin console' is usable on Mid Android (Chrome): no broken layout, no unusable tap targets, readable text (incl. Hindi), acceptable load.</t>
        </is>
      </c>
      <c r="I67" s="36" t="inlineStr">
        <is>
          <t>Screenshot/recording on Mid Android (Chrome)</t>
        </is>
      </c>
      <c r="J67" s="41" t="inlineStr">
        <is>
          <t>NOT RUN</t>
        </is>
      </c>
      <c r="K67" s="36" t="inlineStr">
        <is>
          <t>Claude (pending env)</t>
        </is>
      </c>
      <c r="L67" s="36" t="n"/>
      <c r="M67" s="36" t="n"/>
      <c r="N67" s="36" t="inlineStr">
        <is>
          <t>[T4 | Phase 4 | Claude (pending env)] Playwright/authenticated-API against running env. awaiting running staging URL + test accounts</t>
        </is>
      </c>
    </row>
    <row r="68" ht="43.25" customHeight="1" s="29">
      <c r="A68" s="37" t="inlineStr">
        <is>
          <t>MX-DEVICE-0066</t>
        </is>
      </c>
      <c r="B68" s="55" t="inlineStr">
        <is>
          <t>P2</t>
        </is>
      </c>
      <c r="C68" s="37" t="inlineStr">
        <is>
          <t>Frontend</t>
        </is>
      </c>
      <c r="D68" s="37" t="inlineStr">
        <is>
          <t>School admin console on Older Android (WebView)</t>
        </is>
      </c>
      <c r="E68" s="37" t="inlineStr">
        <is>
          <t>Confirms 'School admin console' works on 'Older Android (WebView)'. Indian students often use low-end and shared devices on weak networks; a screen that only works on a fast desktop excludes much of the market and breaks demos.</t>
        </is>
      </c>
      <c r="F68" s="37" t="inlineStr">
        <is>
          <t>Older Android (WebView) (or an accurate emulator) with a throttled connection option.</t>
        </is>
      </c>
      <c r="G68" s="37" t="inlineStr">
        <is>
          <t>1) Open 'School admin console' on Older Android (WebView). 2) Exercise its primary action. 3) Check layout, tap targets, Hindi rendering, and load behavior on a throttled network.</t>
        </is>
      </c>
      <c r="H68" s="37" t="inlineStr">
        <is>
          <t>'School admin console' is usable on Older Android (WebView): no broken layout, no unusable tap targets, readable text (incl. Hindi), acceptable load.</t>
        </is>
      </c>
      <c r="I68" s="37" t="inlineStr">
        <is>
          <t>Screenshot/recording on Older Android (WebView)</t>
        </is>
      </c>
      <c r="J68" s="43" t="inlineStr">
        <is>
          <t>NOT RUN</t>
        </is>
      </c>
      <c r="K68" s="37" t="inlineStr">
        <is>
          <t>Claude (pending env)</t>
        </is>
      </c>
      <c r="L68" s="37" t="n"/>
      <c r="M68" s="37" t="n"/>
      <c r="N68" s="37" t="inlineStr">
        <is>
          <t>[T4 | Phase 4 | Claude (pending env)] Playwright/authenticated-API against running env. awaiting running staging URL + test accounts</t>
        </is>
      </c>
    </row>
    <row r="69" ht="43.25" customHeight="1" s="29">
      <c r="A69" s="36" t="inlineStr">
        <is>
          <t>MX-DEVICE-0067</t>
        </is>
      </c>
      <c r="B69" s="55" t="inlineStr">
        <is>
          <t>P2</t>
        </is>
      </c>
      <c r="C69" s="36" t="inlineStr">
        <is>
          <t>Frontend</t>
        </is>
      </c>
      <c r="D69" s="36" t="inlineStr">
        <is>
          <t>School admin console on iOS Safari</t>
        </is>
      </c>
      <c r="E69" s="36" t="inlineStr">
        <is>
          <t>Confirms 'School admin console' works on 'iOS Safari'. Indian students often use low-end and shared devices on weak networks; a screen that only works on a fast desktop excludes much of the market and breaks demos.</t>
        </is>
      </c>
      <c r="F69" s="36" t="inlineStr">
        <is>
          <t>iOS Safari (or an accurate emulator) with a throttled connection option.</t>
        </is>
      </c>
      <c r="G69" s="36" t="inlineStr">
        <is>
          <t>1) Open 'School admin console' on iOS Safari. 2) Exercise its primary action. 3) Check layout, tap targets, Hindi rendering, and load behavior on a throttled network.</t>
        </is>
      </c>
      <c r="H69" s="36" t="inlineStr">
        <is>
          <t>'School admin console' is usable on iOS Safari: no broken layout, no unusable tap targets, readable text (incl. Hindi), acceptable load.</t>
        </is>
      </c>
      <c r="I69" s="36" t="inlineStr">
        <is>
          <t>Screenshot/recording on iOS Safari</t>
        </is>
      </c>
      <c r="J69" s="41" t="inlineStr">
        <is>
          <t>NOT RUN</t>
        </is>
      </c>
      <c r="K69" s="36" t="inlineStr">
        <is>
          <t>Claude (pending env)</t>
        </is>
      </c>
      <c r="L69" s="36" t="n"/>
      <c r="M69" s="36" t="n"/>
      <c r="N69" s="36" t="inlineStr">
        <is>
          <t>[T4 | Phase 4 | Claude (pending env)] Playwright/authenticated-API against running env. awaiting running staging URL + test accounts</t>
        </is>
      </c>
    </row>
    <row r="70" ht="43.25" customHeight="1" s="29">
      <c r="A70" s="37" t="inlineStr">
        <is>
          <t>MX-DEVICE-0068</t>
        </is>
      </c>
      <c r="B70" s="55" t="inlineStr">
        <is>
          <t>P2</t>
        </is>
      </c>
      <c r="C70" s="37" t="inlineStr">
        <is>
          <t>Frontend</t>
        </is>
      </c>
      <c r="D70" s="37" t="inlineStr">
        <is>
          <t>School admin console on Desktop Chrome</t>
        </is>
      </c>
      <c r="E70" s="37" t="inlineStr">
        <is>
          <t>Confirms 'School admin console' works on 'Desktop Chrome'. Indian students often use low-end and shared devices on weak networks; a screen that only works on a fast desktop excludes much of the market and breaks demos.</t>
        </is>
      </c>
      <c r="F70" s="37" t="inlineStr">
        <is>
          <t>Desktop Chrome (or an accurate emulator) with a throttled connection option.</t>
        </is>
      </c>
      <c r="G70" s="37" t="inlineStr">
        <is>
          <t>1) Open 'School admin console' on Desktop Chrome. 2) Exercise its primary action. 3) Check layout, tap targets, Hindi rendering, and load behavior on a throttled network.</t>
        </is>
      </c>
      <c r="H70" s="37" t="inlineStr">
        <is>
          <t>'School admin console' is usable on Desktop Chrome: no broken layout, no unusable tap targets, readable text (incl. Hindi), acceptable load.</t>
        </is>
      </c>
      <c r="I70" s="37" t="inlineStr">
        <is>
          <t>Screenshot/recording on Desktop Chrome</t>
        </is>
      </c>
      <c r="J70" s="43" t="inlineStr">
        <is>
          <t>NOT RUN</t>
        </is>
      </c>
      <c r="K70" s="37" t="inlineStr">
        <is>
          <t>Claude (pending env)</t>
        </is>
      </c>
      <c r="L70" s="37" t="n"/>
      <c r="M70" s="37" t="n"/>
      <c r="N70" s="37" t="inlineStr">
        <is>
          <t>[T4 | Phase 4 | Claude (pending env)] Playwright/authenticated-API against running env. awaiting running staging URL + test accounts</t>
        </is>
      </c>
    </row>
    <row r="71" ht="43.25" customHeight="1" s="29">
      <c r="A71" s="36" t="inlineStr">
        <is>
          <t>MX-DEVICE-0069</t>
        </is>
      </c>
      <c r="B71" s="55" t="inlineStr">
        <is>
          <t>P2</t>
        </is>
      </c>
      <c r="C71" s="36" t="inlineStr">
        <is>
          <t>Frontend</t>
        </is>
      </c>
      <c r="D71" s="36" t="inlineStr">
        <is>
          <t>School admin console on Desktop Safari</t>
        </is>
      </c>
      <c r="E71" s="36" t="inlineStr">
        <is>
          <t>Confirms 'School admin console' works on 'Desktop Safari'. Indian students often use low-end and shared devices on weak networks; a screen that only works on a fast desktop excludes much of the market and breaks demos.</t>
        </is>
      </c>
      <c r="F71" s="36" t="inlineStr">
        <is>
          <t>Desktop Safari (or an accurate emulator) with a throttled connection option.</t>
        </is>
      </c>
      <c r="G71" s="36" t="inlineStr">
        <is>
          <t>1) Open 'School admin console' on Desktop Safari. 2) Exercise its primary action. 3) Check layout, tap targets, Hindi rendering, and load behavior on a throttled network.</t>
        </is>
      </c>
      <c r="H71" s="36" t="inlineStr">
        <is>
          <t>'School admin console' is usable on Desktop Safari: no broken layout, no unusable tap targets, readable text (incl. Hindi), acceptable load.</t>
        </is>
      </c>
      <c r="I71" s="36" t="inlineStr">
        <is>
          <t>Screenshot/recording on Desktop Safari</t>
        </is>
      </c>
      <c r="J71" s="41" t="inlineStr">
        <is>
          <t>NOT RUN</t>
        </is>
      </c>
      <c r="K71" s="36" t="inlineStr">
        <is>
          <t>Claude (pending env)</t>
        </is>
      </c>
      <c r="L71" s="36" t="n"/>
      <c r="M71" s="36" t="n"/>
      <c r="N71" s="36" t="inlineStr">
        <is>
          <t>[T4 | Phase 4 | Claude (pending env)] Playwright/authenticated-API against running env. awaiting running staging URL + test accounts</t>
        </is>
      </c>
    </row>
    <row r="72" ht="43.25" customHeight="1" s="29">
      <c r="A72" s="37" t="inlineStr">
        <is>
          <t>MX-DEVICE-0070</t>
        </is>
      </c>
      <c r="B72" s="55" t="inlineStr">
        <is>
          <t>P2</t>
        </is>
      </c>
      <c r="C72" s="37" t="inlineStr">
        <is>
          <t>Frontend</t>
        </is>
      </c>
      <c r="D72" s="37" t="inlineStr">
        <is>
          <t>School admin console on Tablet (shared-device)</t>
        </is>
      </c>
      <c r="E72" s="37" t="inlineStr">
        <is>
          <t>Confirms 'School admin console' works on 'Tablet (shared-device)'. Indian students often use low-end and shared devices on weak networks; a screen that only works on a fast desktop excludes much of the market and breaks demos.</t>
        </is>
      </c>
      <c r="F72" s="37" t="inlineStr">
        <is>
          <t>Tablet (shared-device) (or an accurate emulator) with a throttled connection option.</t>
        </is>
      </c>
      <c r="G72" s="37" t="inlineStr">
        <is>
          <t>1) Open 'School admin console' on Tablet (shared-device). 2) Exercise its primary action. 3) Check layout, tap targets, Hindi rendering, and load behavior on a throttled network.</t>
        </is>
      </c>
      <c r="H72" s="37" t="inlineStr">
        <is>
          <t>'School admin console' is usable on Tablet (shared-device): no broken layout, no unusable tap targets, readable text (incl. Hindi), acceptable load.</t>
        </is>
      </c>
      <c r="I72" s="37" t="inlineStr">
        <is>
          <t>Screenshot/recording on Tablet (shared-device)</t>
        </is>
      </c>
      <c r="J72" s="43" t="inlineStr">
        <is>
          <t>NOT RUN</t>
        </is>
      </c>
      <c r="K72" s="37" t="inlineStr">
        <is>
          <t>Claude (pending env)</t>
        </is>
      </c>
      <c r="L72" s="37" t="n"/>
      <c r="M72" s="37" t="n"/>
      <c r="N72" s="37" t="inlineStr">
        <is>
          <t>[T4 | Phase 4 | Claude (pending env)] Playwright/authenticated-API against running env. awaiting running staging URL + test accounts</t>
        </is>
      </c>
    </row>
    <row r="73" ht="43.25" customHeight="1" s="29">
      <c r="A73" s="36" t="inlineStr">
        <is>
          <t>MX-DEVICE-0071</t>
        </is>
      </c>
      <c r="B73" s="54" t="inlineStr">
        <is>
          <t>P1</t>
        </is>
      </c>
      <c r="C73" s="36" t="inlineStr">
        <is>
          <t>Frontend</t>
        </is>
      </c>
      <c r="D73" s="36" t="inlineStr">
        <is>
          <t>Payment checkout on Low-end Android (Chrome)</t>
        </is>
      </c>
      <c r="E73" s="36" t="inlineStr">
        <is>
          <t>Confirms 'Payment checkout' works on 'Low-end Android (Chrome)'. Indian students often use low-end and shared devices on weak networks; a screen that only works on a fast desktop excludes much of the market and breaks demos.</t>
        </is>
      </c>
      <c r="F73" s="36" t="inlineStr">
        <is>
          <t>Low-end Android (Chrome) (or an accurate emulator) with a throttled connection option.</t>
        </is>
      </c>
      <c r="G73" s="36" t="inlineStr">
        <is>
          <t>1) Open 'Payment checkout' on Low-end Android (Chrome). 2) Exercise its primary action. 3) Check layout, tap targets, Hindi rendering, and load behavior on a throttled network.</t>
        </is>
      </c>
      <c r="H73" s="36" t="inlineStr">
        <is>
          <t>'Payment checkout' is usable on Low-end Android (Chrome): no broken layout, no unusable tap targets, readable text (incl. Hindi), acceptable load.</t>
        </is>
      </c>
      <c r="I73" s="36" t="inlineStr">
        <is>
          <t>Screenshot/recording on Low-end Android (Chrome)</t>
        </is>
      </c>
      <c r="J73" s="41" t="inlineStr">
        <is>
          <t>NOT RUN</t>
        </is>
      </c>
      <c r="K73" s="36" t="inlineStr">
        <is>
          <t>Claude (pending env)</t>
        </is>
      </c>
      <c r="L73" s="36" t="n"/>
      <c r="M73" s="36" t="n"/>
      <c r="N73" s="36" t="inlineStr">
        <is>
          <t>[T4 | Phase 4 | Claude (pending env)] Playwright/authenticated-API against running env. awaiting running staging URL + test accounts</t>
        </is>
      </c>
    </row>
    <row r="74" ht="43.25" customHeight="1" s="29">
      <c r="A74" s="37" t="inlineStr">
        <is>
          <t>MX-DEVICE-0072</t>
        </is>
      </c>
      <c r="B74" s="54" t="inlineStr">
        <is>
          <t>P1</t>
        </is>
      </c>
      <c r="C74" s="37" t="inlineStr">
        <is>
          <t>Frontend</t>
        </is>
      </c>
      <c r="D74" s="37" t="inlineStr">
        <is>
          <t>Payment checkout on Mid Android (Chrome)</t>
        </is>
      </c>
      <c r="E74" s="37" t="inlineStr">
        <is>
          <t>Confirms 'Payment checkout' works on 'Mid Android (Chrome)'. Indian students often use low-end and shared devices on weak networks; a screen that only works on a fast desktop excludes much of the market and breaks demos.</t>
        </is>
      </c>
      <c r="F74" s="37" t="inlineStr">
        <is>
          <t>Mid Android (Chrome) (or an accurate emulator) with a throttled connection option.</t>
        </is>
      </c>
      <c r="G74" s="37" t="inlineStr">
        <is>
          <t>1) Open 'Payment checkout' on Mid Android (Chrome). 2) Exercise its primary action. 3) Check layout, tap targets, Hindi rendering, and load behavior on a throttled network.</t>
        </is>
      </c>
      <c r="H74" s="37" t="inlineStr">
        <is>
          <t>'Payment checkout' is usable on Mid Android (Chrome): no broken layout, no unusable tap targets, readable text (incl. Hindi), acceptable load.</t>
        </is>
      </c>
      <c r="I74" s="37" t="inlineStr">
        <is>
          <t>Screenshot/recording on Mid Android (Chrome)</t>
        </is>
      </c>
      <c r="J74" s="43" t="inlineStr">
        <is>
          <t>NOT RUN</t>
        </is>
      </c>
      <c r="K74" s="37" t="inlineStr">
        <is>
          <t>Claude (pending env)</t>
        </is>
      </c>
      <c r="L74" s="37" t="n"/>
      <c r="M74" s="37" t="n"/>
      <c r="N74" s="37" t="inlineStr">
        <is>
          <t>[T4 | Phase 4 | Claude (pending env)] Playwright/authenticated-API against running env. awaiting running staging URL + test accounts</t>
        </is>
      </c>
    </row>
    <row r="75" ht="43.25" customHeight="1" s="29">
      <c r="A75" s="36" t="inlineStr">
        <is>
          <t>MX-DEVICE-0073</t>
        </is>
      </c>
      <c r="B75" s="54" t="inlineStr">
        <is>
          <t>P1</t>
        </is>
      </c>
      <c r="C75" s="36" t="inlineStr">
        <is>
          <t>Frontend</t>
        </is>
      </c>
      <c r="D75" s="36" t="inlineStr">
        <is>
          <t>Payment checkout on Older Android (WebView)</t>
        </is>
      </c>
      <c r="E75" s="36" t="inlineStr">
        <is>
          <t>Confirms 'Payment checkout' works on 'Older Android (WebView)'. Indian students often use low-end and shared devices on weak networks; a screen that only works on a fast desktop excludes much of the market and breaks demos.</t>
        </is>
      </c>
      <c r="F75" s="36" t="inlineStr">
        <is>
          <t>Older Android (WebView) (or an accurate emulator) with a throttled connection option.</t>
        </is>
      </c>
      <c r="G75" s="36" t="inlineStr">
        <is>
          <t>1) Open 'Payment checkout' on Older Android (WebView). 2) Exercise its primary action. 3) Check layout, tap targets, Hindi rendering, and load behavior on a throttled network.</t>
        </is>
      </c>
      <c r="H75" s="36" t="inlineStr">
        <is>
          <t>'Payment checkout' is usable on Older Android (WebView): no broken layout, no unusable tap targets, readable text (incl. Hindi), acceptable load.</t>
        </is>
      </c>
      <c r="I75" s="36" t="inlineStr">
        <is>
          <t>Screenshot/recording on Older Android (WebView)</t>
        </is>
      </c>
      <c r="J75" s="41" t="inlineStr">
        <is>
          <t>NOT RUN</t>
        </is>
      </c>
      <c r="K75" s="36" t="inlineStr">
        <is>
          <t>Claude (pending env)</t>
        </is>
      </c>
      <c r="L75" s="36" t="n"/>
      <c r="M75" s="36" t="n"/>
      <c r="N75" s="36" t="inlineStr">
        <is>
          <t>[T4 | Phase 4 | Claude (pending env)] Playwright/authenticated-API against running env. awaiting running staging URL + test accounts</t>
        </is>
      </c>
    </row>
    <row r="76" ht="43.25" customHeight="1" s="29">
      <c r="A76" s="37" t="inlineStr">
        <is>
          <t>MX-DEVICE-0074</t>
        </is>
      </c>
      <c r="B76" s="54" t="inlineStr">
        <is>
          <t>P1</t>
        </is>
      </c>
      <c r="C76" s="37" t="inlineStr">
        <is>
          <t>Frontend</t>
        </is>
      </c>
      <c r="D76" s="37" t="inlineStr">
        <is>
          <t>Payment checkout on iOS Safari</t>
        </is>
      </c>
      <c r="E76" s="37" t="inlineStr">
        <is>
          <t>Confirms 'Payment checkout' works on 'iOS Safari'. Indian students often use low-end and shared devices on weak networks; a screen that only works on a fast desktop excludes much of the market and breaks demos.</t>
        </is>
      </c>
      <c r="F76" s="37" t="inlineStr">
        <is>
          <t>iOS Safari (or an accurate emulator) with a throttled connection option.</t>
        </is>
      </c>
      <c r="G76" s="37" t="inlineStr">
        <is>
          <t>1) Open 'Payment checkout' on iOS Safari. 2) Exercise its primary action. 3) Check layout, tap targets, Hindi rendering, and load behavior on a throttled network.</t>
        </is>
      </c>
      <c r="H76" s="37" t="inlineStr">
        <is>
          <t>'Payment checkout' is usable on iOS Safari: no broken layout, no unusable tap targets, readable text (incl. Hindi), acceptable load.</t>
        </is>
      </c>
      <c r="I76" s="37" t="inlineStr">
        <is>
          <t>Screenshot/recording on iOS Safari</t>
        </is>
      </c>
      <c r="J76" s="43" t="inlineStr">
        <is>
          <t>NOT RUN</t>
        </is>
      </c>
      <c r="K76" s="37" t="inlineStr">
        <is>
          <t>Claude (pending env)</t>
        </is>
      </c>
      <c r="L76" s="37" t="n"/>
      <c r="M76" s="37" t="n"/>
      <c r="N76" s="37" t="inlineStr">
        <is>
          <t>[T4 | Phase 4 | Claude (pending env)] Playwright/authenticated-API against running env. awaiting running staging URL + test accounts</t>
        </is>
      </c>
    </row>
    <row r="77" ht="43.25" customHeight="1" s="29">
      <c r="A77" s="36" t="inlineStr">
        <is>
          <t>MX-DEVICE-0075</t>
        </is>
      </c>
      <c r="B77" s="54" t="inlineStr">
        <is>
          <t>P1</t>
        </is>
      </c>
      <c r="C77" s="36" t="inlineStr">
        <is>
          <t>Frontend</t>
        </is>
      </c>
      <c r="D77" s="36" t="inlineStr">
        <is>
          <t>Payment checkout on Desktop Chrome</t>
        </is>
      </c>
      <c r="E77" s="36" t="inlineStr">
        <is>
          <t>Confirms 'Payment checkout' works on 'Desktop Chrome'. Indian students often use low-end and shared devices on weak networks; a screen that only works on a fast desktop excludes much of the market and breaks demos.</t>
        </is>
      </c>
      <c r="F77" s="36" t="inlineStr">
        <is>
          <t>Desktop Chrome (or an accurate emulator) with a throttled connection option.</t>
        </is>
      </c>
      <c r="G77" s="36" t="inlineStr">
        <is>
          <t>1) Open 'Payment checkout' on Desktop Chrome. 2) Exercise its primary action. 3) Check layout, tap targets, Hindi rendering, and load behavior on a throttled network.</t>
        </is>
      </c>
      <c r="H77" s="36" t="inlineStr">
        <is>
          <t>'Payment checkout' is usable on Desktop Chrome: no broken layout, no unusable tap targets, readable text (incl. Hindi), acceptable load.</t>
        </is>
      </c>
      <c r="I77" s="36" t="inlineStr">
        <is>
          <t>Screenshot/recording on Desktop Chrome</t>
        </is>
      </c>
      <c r="J77" s="41" t="inlineStr">
        <is>
          <t>NOT RUN</t>
        </is>
      </c>
      <c r="K77" s="36" t="inlineStr">
        <is>
          <t>Claude (pending env)</t>
        </is>
      </c>
      <c r="L77" s="36" t="n"/>
      <c r="M77" s="36" t="n"/>
      <c r="N77" s="36" t="inlineStr">
        <is>
          <t>[T4 | Phase 4 | Claude (pending env)] Playwright/authenticated-API against running env. awaiting running staging URL + test accounts</t>
        </is>
      </c>
    </row>
    <row r="78" ht="43.25" customHeight="1" s="29">
      <c r="A78" s="37" t="inlineStr">
        <is>
          <t>MX-DEVICE-0076</t>
        </is>
      </c>
      <c r="B78" s="54" t="inlineStr">
        <is>
          <t>P1</t>
        </is>
      </c>
      <c r="C78" s="37" t="inlineStr">
        <is>
          <t>Frontend</t>
        </is>
      </c>
      <c r="D78" s="37" t="inlineStr">
        <is>
          <t>Payment checkout on Desktop Safari</t>
        </is>
      </c>
      <c r="E78" s="37" t="inlineStr">
        <is>
          <t>Confirms 'Payment checkout' works on 'Desktop Safari'. Indian students often use low-end and shared devices on weak networks; a screen that only works on a fast desktop excludes much of the market and breaks demos.</t>
        </is>
      </c>
      <c r="F78" s="37" t="inlineStr">
        <is>
          <t>Desktop Safari (or an accurate emulator) with a throttled connection option.</t>
        </is>
      </c>
      <c r="G78" s="37" t="inlineStr">
        <is>
          <t>1) Open 'Payment checkout' on Desktop Safari. 2) Exercise its primary action. 3) Check layout, tap targets, Hindi rendering, and load behavior on a throttled network.</t>
        </is>
      </c>
      <c r="H78" s="37" t="inlineStr">
        <is>
          <t>'Payment checkout' is usable on Desktop Safari: no broken layout, no unusable tap targets, readable text (incl. Hindi), acceptable load.</t>
        </is>
      </c>
      <c r="I78" s="37" t="inlineStr">
        <is>
          <t>Screenshot/recording on Desktop Safari</t>
        </is>
      </c>
      <c r="J78" s="43" t="inlineStr">
        <is>
          <t>NOT RUN</t>
        </is>
      </c>
      <c r="K78" s="37" t="inlineStr">
        <is>
          <t>Claude (pending env)</t>
        </is>
      </c>
      <c r="L78" s="37" t="n"/>
      <c r="M78" s="37" t="n"/>
      <c r="N78" s="37" t="inlineStr">
        <is>
          <t>[T4 | Phase 4 | Claude (pending env)] Playwright/authenticated-API against running env. awaiting running staging URL + test accounts</t>
        </is>
      </c>
    </row>
    <row r="79" ht="43.25" customHeight="1" s="29">
      <c r="A79" s="36" t="inlineStr">
        <is>
          <t>MX-DEVICE-0077</t>
        </is>
      </c>
      <c r="B79" s="54" t="inlineStr">
        <is>
          <t>P1</t>
        </is>
      </c>
      <c r="C79" s="36" t="inlineStr">
        <is>
          <t>Frontend</t>
        </is>
      </c>
      <c r="D79" s="36" t="inlineStr">
        <is>
          <t>Payment checkout on Tablet (shared-device)</t>
        </is>
      </c>
      <c r="E79" s="36" t="inlineStr">
        <is>
          <t>Confirms 'Payment checkout' works on 'Tablet (shared-device)'. Indian students often use low-end and shared devices on weak networks; a screen that only works on a fast desktop excludes much of the market and breaks demos.</t>
        </is>
      </c>
      <c r="F79" s="36" t="inlineStr">
        <is>
          <t>Tablet (shared-device) (or an accurate emulator) with a throttled connection option.</t>
        </is>
      </c>
      <c r="G79" s="36" t="inlineStr">
        <is>
          <t>1) Open 'Payment checkout' on Tablet (shared-device). 2) Exercise its primary action. 3) Check layout, tap targets, Hindi rendering, and load behavior on a throttled network.</t>
        </is>
      </c>
      <c r="H79" s="36" t="inlineStr">
        <is>
          <t>'Payment checkout' is usable on Tablet (shared-device): no broken layout, no unusable tap targets, readable text (incl. Hindi), acceptable load.</t>
        </is>
      </c>
      <c r="I79" s="36" t="inlineStr">
        <is>
          <t>Screenshot/recording on Tablet (shared-device)</t>
        </is>
      </c>
      <c r="J79" s="41" t="inlineStr">
        <is>
          <t>NOT RUN</t>
        </is>
      </c>
      <c r="K79" s="36" t="inlineStr">
        <is>
          <t>Claude (pending env)</t>
        </is>
      </c>
      <c r="L79" s="36" t="n"/>
      <c r="M79" s="36" t="n"/>
      <c r="N79" s="36" t="inlineStr">
        <is>
          <t>[T4 | Phase 4 | Claude (pending env)] Playwright/authenticated-API against running env. awaiting running staging URL + test accounts</t>
        </is>
      </c>
    </row>
  </sheetData>
  <autoFilter ref="A2:N79"/>
  <mergeCells count="1">
    <mergeCell ref="A1:N1"/>
  </mergeCells>
  <conditionalFormatting sqref="J3:J79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79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N17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26 · Matrix — Edge Function Smoke &amp; Observability   —   172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53.7" customHeight="1" s="29">
      <c r="A3" s="36" t="inlineStr">
        <is>
          <t>MX-EDGE-0001</t>
        </is>
      </c>
      <c r="B3" s="54" t="inlineStr">
        <is>
          <t>P1</t>
        </is>
      </c>
      <c r="C3" s="36" t="inlineStr">
        <is>
          <t>Backend/Edge Fn</t>
        </is>
      </c>
      <c r="D3" s="36" t="inlineStr">
        <is>
          <t>identity — Happy-path smoke</t>
        </is>
      </c>
      <c r="E3" s="36" t="inlineStr">
        <is>
          <t>Confirms the 'Happy-path smoke' property of the 'identity' Edge Function. With ~90 functions across two hosts, observability and auth on EACH is what makes incidents debuggable and safe; the 17-day silent-cron outage happened because a function failed unseen.</t>
        </is>
      </c>
      <c r="F3" s="36" t="inlineStr">
        <is>
          <t>Ability to invoke the function (API client) and read its logs on the serving host.</t>
        </is>
      </c>
      <c r="G3" s="36" t="inlineStr">
        <is>
          <t>1) Invoke the function with a valid request and confirm a correct 2xx response and expected side effect. (function: identity).</t>
        </is>
      </c>
      <c r="H3" s="36" t="inlineStr">
        <is>
          <t>Returns success; performs its intended effect; no error.</t>
        </is>
      </c>
      <c r="I3" s="36" t="inlineStr">
        <is>
          <t>Response + log excerpt for identity — Happy-path smoke</t>
        </is>
      </c>
      <c r="J3" s="41" t="inlineStr">
        <is>
          <t>NOT RUN</t>
        </is>
      </c>
      <c r="K3" s="36" t="inlineStr">
        <is>
          <t>Claude (pending env)</t>
        </is>
      </c>
      <c r="L3" s="36" t="n"/>
      <c r="M3" s="36" t="n"/>
      <c r="N3" s="36" t="inlineStr">
        <is>
          <t>[T4 | Phase 4 | Claude (pending env)] Playwright/authenticated-API against running env. awaiting running staging URL + test accounts</t>
        </is>
      </c>
    </row>
    <row r="4" ht="53.7" customHeight="1" s="29">
      <c r="A4" s="37" t="inlineStr">
        <is>
          <t>MX-EDGE-0002</t>
        </is>
      </c>
      <c r="B4" s="54" t="inlineStr">
        <is>
          <t>P1</t>
        </is>
      </c>
      <c r="C4" s="37" t="inlineStr">
        <is>
          <t>Backend/Edge Fn</t>
        </is>
      </c>
      <c r="D4" s="37" t="inlineStr">
        <is>
          <t>identity — Structured start/success/failure logs + correlation ID</t>
        </is>
      </c>
      <c r="E4" s="37" t="inlineStr">
        <is>
          <t>Confirms the 'Structured start/success/failure logs + correlation ID' property of the 'identity' Edge Function. With ~90 functions across two hosts, observability and auth on EACH is what makes incidents debuggable and safe; the 17-day silent-cron outage happened because a function failed unseen.</t>
        </is>
      </c>
      <c r="F4" s="37" t="inlineStr">
        <is>
          <t>Ability to invoke the function (API client) and read its logs on the serving host.</t>
        </is>
      </c>
      <c r="G4" s="37" t="inlineStr">
        <is>
          <t>1) Invoke it and inspect logs; confirm a start log, a terminal (success/failure) log, and a correlation ID that ties them together, plus a host tag. (function: identity).</t>
        </is>
      </c>
      <c r="H4" s="37" t="inlineStr">
        <is>
          <t>Start + terminal logs present, sharing a correlation ID and host tag.</t>
        </is>
      </c>
      <c r="I4" s="37" t="inlineStr">
        <is>
          <t>Response + log excerpt for identity — Structured start/success/failure logs + correlation ID</t>
        </is>
      </c>
      <c r="J4" s="43" t="inlineStr">
        <is>
          <t>NOT RUN</t>
        </is>
      </c>
      <c r="K4" s="37" t="inlineStr">
        <is>
          <t>Claude (pending env)</t>
        </is>
      </c>
      <c r="L4" s="37" t="n"/>
      <c r="M4" s="37" t="n"/>
      <c r="N4" s="37" t="inlineStr">
        <is>
          <t>[T4 | Phase 4 | Claude (pending env)] Playwright/authenticated-API against running env. awaiting running staging URL + test accounts</t>
        </is>
      </c>
    </row>
    <row r="5" ht="53.7" customHeight="1" s="29">
      <c r="A5" s="36" t="inlineStr">
        <is>
          <t>MX-EDGE-0003</t>
        </is>
      </c>
      <c r="B5" s="53" t="inlineStr">
        <is>
          <t>P0</t>
        </is>
      </c>
      <c r="C5" s="36" t="inlineStr">
        <is>
          <t>Backend/Edge Fn</t>
        </is>
      </c>
      <c r="D5" s="36" t="inlineStr">
        <is>
          <t>identity — Auth boundary</t>
        </is>
      </c>
      <c r="E5" s="36" t="inlineStr">
        <is>
          <t>Confirms the 'Auth boundary' property of the 'identity' Edge Function. With ~90 functions across two hosts, observability and auth on EACH is what makes incidents debuggable and safe; the 17-day silent-cron outage happened because a function failed unseen.</t>
        </is>
      </c>
      <c r="F5" s="36" t="inlineStr">
        <is>
          <t>Ability to invoke the function (API client) and read its logs on the serving host.</t>
        </is>
      </c>
      <c r="G5" s="36" t="inlineStr">
        <is>
          <t>1) Invoke it without a valid session / with the wrong role (where the function is not deliberately public). (function: identity).</t>
        </is>
      </c>
      <c r="H5" s="36" t="inlineStr">
        <is>
          <t>Rejects unauthorised callers with a structured error (or is deliberately public with an internal auth check).</t>
        </is>
      </c>
      <c r="I5" s="36" t="inlineStr">
        <is>
          <t>Response + log excerpt for identity — Auth boundary</t>
        </is>
      </c>
      <c r="J5" s="41" t="inlineStr">
        <is>
          <t>NOT RUN</t>
        </is>
      </c>
      <c r="K5" s="36" t="inlineStr">
        <is>
          <t>Claude (pending env)</t>
        </is>
      </c>
      <c r="L5" s="36" t="n"/>
      <c r="M5" s="36" t="n"/>
      <c r="N5" s="36" t="inlineStr">
        <is>
          <t>[T4 | Phase 4 | Claude (pending env)] Playwright/authenticated-API against running env. awaiting running staging URL + test accounts</t>
        </is>
      </c>
    </row>
    <row r="6" ht="53.7" customHeight="1" s="29">
      <c r="A6" s="37" t="inlineStr">
        <is>
          <t>MX-EDGE-0004</t>
        </is>
      </c>
      <c r="B6" s="54" t="inlineStr">
        <is>
          <t>P1</t>
        </is>
      </c>
      <c r="C6" s="37" t="inlineStr">
        <is>
          <t>Backend/Edge Fn</t>
        </is>
      </c>
      <c r="D6" s="37" t="inlineStr">
        <is>
          <t>identity — Failure path is graceful</t>
        </is>
      </c>
      <c r="E6" s="37" t="inlineStr">
        <is>
          <t>Confirms the 'Failure path is graceful' property of the 'identity' Edge Function. With ~90 functions across two hosts, observability and auth on EACH is what makes incidents debuggable and safe; the 17-day silent-cron outage happened because a function failed unseen.</t>
        </is>
      </c>
      <c r="F6" s="37" t="inlineStr">
        <is>
          <t>Ability to invoke the function (API client) and read its logs on the serving host.</t>
        </is>
      </c>
      <c r="G6" s="37" t="inlineStr">
        <is>
          <t>1) Force its downstream dependency to fail (bad input or simulated dependency error) and observe. (function: identity).</t>
        </is>
      </c>
      <c r="H6" s="37" t="inlineStr">
        <is>
          <t>Fails gracefully with a structured error and a failure log; no crash, no partial write, no silent success.</t>
        </is>
      </c>
      <c r="I6" s="37" t="inlineStr">
        <is>
          <t>Response + log excerpt for identity — Failure path is graceful</t>
        </is>
      </c>
      <c r="J6" s="43" t="inlineStr">
        <is>
          <t>NOT RUN</t>
        </is>
      </c>
      <c r="K6" s="37" t="inlineStr">
        <is>
          <t>Claude (pending env)</t>
        </is>
      </c>
      <c r="L6" s="37" t="n"/>
      <c r="M6" s="37" t="n"/>
      <c r="N6" s="37" t="inlineStr">
        <is>
          <t>[T4 | Phase 4 | Claude (pending env)] Playwright/authenticated-API against running env. awaiting running staging URL + test accounts</t>
        </is>
      </c>
    </row>
    <row r="7" ht="53.7" customHeight="1" s="29">
      <c r="A7" s="36" t="inlineStr">
        <is>
          <t>MX-EDGE-0005</t>
        </is>
      </c>
      <c r="B7" s="54" t="inlineStr">
        <is>
          <t>P1</t>
        </is>
      </c>
      <c r="C7" s="36" t="inlineStr">
        <is>
          <t>Backend/Edge Fn</t>
        </is>
      </c>
      <c r="D7" s="36" t="inlineStr">
        <is>
          <t>session-guard — Happy-path smoke</t>
        </is>
      </c>
      <c r="E7" s="36" t="inlineStr">
        <is>
          <t>Confirms the 'Happy-path smoke' property of the 'session-guard' Edge Function. With ~90 functions across two hosts, observability and auth on EACH is what makes incidents debuggable and safe; the 17-day silent-cron outage happened because a function failed unseen.</t>
        </is>
      </c>
      <c r="F7" s="36" t="inlineStr">
        <is>
          <t>Ability to invoke the function (API client) and read its logs on the serving host.</t>
        </is>
      </c>
      <c r="G7" s="36" t="inlineStr">
        <is>
          <t>1) Invoke the function with a valid request and confirm a correct 2xx response and expected side effect. (function: session-guard).</t>
        </is>
      </c>
      <c r="H7" s="36" t="inlineStr">
        <is>
          <t>Returns success; performs its intended effect; no error.</t>
        </is>
      </c>
      <c r="I7" s="36" t="inlineStr">
        <is>
          <t>Response + log excerpt for session-guard — Happy-path smoke</t>
        </is>
      </c>
      <c r="J7" s="41" t="inlineStr">
        <is>
          <t>NOT RUN</t>
        </is>
      </c>
      <c r="K7" s="36" t="inlineStr">
        <is>
          <t>Claude (pending env)</t>
        </is>
      </c>
      <c r="L7" s="36" t="n"/>
      <c r="M7" s="36" t="n"/>
      <c r="N7" s="36" t="inlineStr">
        <is>
          <t>[T4 | Phase 4 | Claude (pending env)] Playwright/authenticated-API against running env. awaiting running staging URL + test accounts</t>
        </is>
      </c>
    </row>
    <row r="8" ht="53.7" customHeight="1" s="29">
      <c r="A8" s="37" t="inlineStr">
        <is>
          <t>MX-EDGE-0006</t>
        </is>
      </c>
      <c r="B8" s="54" t="inlineStr">
        <is>
          <t>P1</t>
        </is>
      </c>
      <c r="C8" s="37" t="inlineStr">
        <is>
          <t>Backend/Edge Fn</t>
        </is>
      </c>
      <c r="D8" s="37" t="inlineStr">
        <is>
          <t>session-guard — Structured start/success/failure logs + correlation ID</t>
        </is>
      </c>
      <c r="E8" s="37" t="inlineStr">
        <is>
          <t>Confirms the 'Structured start/success/failure logs + correlation ID' property of the 'session-guard' Edge Function. With ~90 functions across two hosts, observability and auth on EACH is what makes incidents debuggable and safe; the 17-day silent-cron outage happened because a function failed unseen.</t>
        </is>
      </c>
      <c r="F8" s="37" t="inlineStr">
        <is>
          <t>Ability to invoke the function (API client) and read its logs on the serving host.</t>
        </is>
      </c>
      <c r="G8" s="37" t="inlineStr">
        <is>
          <t>1) Invoke it and inspect logs; confirm a start log, a terminal (success/failure) log, and a correlation ID that ties them together, plus a host tag. (function: session-guard).</t>
        </is>
      </c>
      <c r="H8" s="37" t="inlineStr">
        <is>
          <t>Start + terminal logs present, sharing a correlation ID and host tag.</t>
        </is>
      </c>
      <c r="I8" s="37" t="inlineStr">
        <is>
          <t>Response + log excerpt for session-guard — Structured start/success/failure logs + correlation ID</t>
        </is>
      </c>
      <c r="J8" s="43" t="inlineStr">
        <is>
          <t>NOT RUN</t>
        </is>
      </c>
      <c r="K8" s="37" t="inlineStr">
        <is>
          <t>Claude (pending env)</t>
        </is>
      </c>
      <c r="L8" s="37" t="n"/>
      <c r="M8" s="37" t="n"/>
      <c r="N8" s="37" t="inlineStr">
        <is>
          <t>[T4 | Phase 4 | Claude (pending env)] Playwright/authenticated-API against running env. awaiting running staging URL + test accounts</t>
        </is>
      </c>
    </row>
    <row r="9" ht="53.7" customHeight="1" s="29">
      <c r="A9" s="36" t="inlineStr">
        <is>
          <t>MX-EDGE-0007</t>
        </is>
      </c>
      <c r="B9" s="53" t="inlineStr">
        <is>
          <t>P0</t>
        </is>
      </c>
      <c r="C9" s="36" t="inlineStr">
        <is>
          <t>Backend/Edge Fn</t>
        </is>
      </c>
      <c r="D9" s="36" t="inlineStr">
        <is>
          <t>session-guard — Auth boundary</t>
        </is>
      </c>
      <c r="E9" s="36" t="inlineStr">
        <is>
          <t>Confirms the 'Auth boundary' property of the 'session-guard' Edge Function. With ~90 functions across two hosts, observability and auth on EACH is what makes incidents debuggable and safe; the 17-day silent-cron outage happened because a function failed unseen.</t>
        </is>
      </c>
      <c r="F9" s="36" t="inlineStr">
        <is>
          <t>Ability to invoke the function (API client) and read its logs on the serving host.</t>
        </is>
      </c>
      <c r="G9" s="36" t="inlineStr">
        <is>
          <t>1) Invoke it without a valid session / with the wrong role (where the function is not deliberately public). (function: session-guard).</t>
        </is>
      </c>
      <c r="H9" s="36" t="inlineStr">
        <is>
          <t>Rejects unauthorised callers with a structured error (or is deliberately public with an internal auth check).</t>
        </is>
      </c>
      <c r="I9" s="36" t="inlineStr">
        <is>
          <t>Response + log excerpt for session-guard — Auth boundary</t>
        </is>
      </c>
      <c r="J9" s="41" t="inlineStr">
        <is>
          <t>NOT RUN</t>
        </is>
      </c>
      <c r="K9" s="36" t="inlineStr">
        <is>
          <t>Claude (pending env)</t>
        </is>
      </c>
      <c r="L9" s="36" t="n"/>
      <c r="M9" s="36" t="n"/>
      <c r="N9" s="36" t="inlineStr">
        <is>
          <t>[T4 | Phase 4 | Claude (pending env)] Playwright/authenticated-API against running env. awaiting running staging URL + test accounts</t>
        </is>
      </c>
    </row>
    <row r="10" ht="53.7" customHeight="1" s="29">
      <c r="A10" s="37" t="inlineStr">
        <is>
          <t>MX-EDGE-0008</t>
        </is>
      </c>
      <c r="B10" s="54" t="inlineStr">
        <is>
          <t>P1</t>
        </is>
      </c>
      <c r="C10" s="37" t="inlineStr">
        <is>
          <t>Backend/Edge Fn</t>
        </is>
      </c>
      <c r="D10" s="37" t="inlineStr">
        <is>
          <t>session-guard — Failure path is graceful</t>
        </is>
      </c>
      <c r="E10" s="37" t="inlineStr">
        <is>
          <t>Confirms the 'Failure path is graceful' property of the 'session-guard' Edge Function. With ~90 functions across two hosts, observability and auth on EACH is what makes incidents debuggable and safe; the 17-day silent-cron outage happened because a function failed unseen.</t>
        </is>
      </c>
      <c r="F10" s="37" t="inlineStr">
        <is>
          <t>Ability to invoke the function (API client) and read its logs on the serving host.</t>
        </is>
      </c>
      <c r="G10" s="37" t="inlineStr">
        <is>
          <t>1) Force its downstream dependency to fail (bad input or simulated dependency error) and observe. (function: session-guard).</t>
        </is>
      </c>
      <c r="H10" s="37" t="inlineStr">
        <is>
          <t>Fails gracefully with a structured error and a failure log; no crash, no partial write, no silent success.</t>
        </is>
      </c>
      <c r="I10" s="37" t="inlineStr">
        <is>
          <t>Response + log excerpt for session-guard — Failure path is graceful</t>
        </is>
      </c>
      <c r="J10" s="43" t="inlineStr">
        <is>
          <t>NOT RUN</t>
        </is>
      </c>
      <c r="K10" s="37" t="inlineStr">
        <is>
          <t>Claude (pending env)</t>
        </is>
      </c>
      <c r="L10" s="37" t="n"/>
      <c r="M10" s="37" t="n"/>
      <c r="N10" s="37" t="inlineStr">
        <is>
          <t>[T4 | Phase 4 | Claude (pending env)] Playwright/authenticated-API against running env. awaiting running staging URL + test accounts</t>
        </is>
      </c>
    </row>
    <row r="11" ht="53.7" customHeight="1" s="29">
      <c r="A11" s="36" t="inlineStr">
        <is>
          <t>MX-EDGE-0009</t>
        </is>
      </c>
      <c r="B11" s="54" t="inlineStr">
        <is>
          <t>P1</t>
        </is>
      </c>
      <c r="C11" s="36" t="inlineStr">
        <is>
          <t>Backend/Edge Fn</t>
        </is>
      </c>
      <c r="D11" s="36" t="inlineStr">
        <is>
          <t>start-quiz-session — Happy-path smoke</t>
        </is>
      </c>
      <c r="E11" s="36" t="inlineStr">
        <is>
          <t>Confirms the 'Happy-path smoke' property of the 'start-quiz-session' Edge Function. With ~90 functions across two hosts, observability and auth on EACH is what makes incidents debuggable and safe; the 17-day silent-cron outage happened because a function failed unseen.</t>
        </is>
      </c>
      <c r="F11" s="36" t="inlineStr">
        <is>
          <t>Ability to invoke the function (API client) and read its logs on the serving host.</t>
        </is>
      </c>
      <c r="G11" s="36" t="inlineStr">
        <is>
          <t>1) Invoke the function with a valid request and confirm a correct 2xx response and expected side effect. (function: start-quiz-session).</t>
        </is>
      </c>
      <c r="H11" s="36" t="inlineStr">
        <is>
          <t>Returns success; performs its intended effect; no error.</t>
        </is>
      </c>
      <c r="I11" s="36" t="inlineStr">
        <is>
          <t>Response + log excerpt for start-quiz-session — Happy-path smoke</t>
        </is>
      </c>
      <c r="J11" s="41" t="inlineStr">
        <is>
          <t>NOT RUN</t>
        </is>
      </c>
      <c r="K11" s="36" t="inlineStr">
        <is>
          <t>Claude (pending env)</t>
        </is>
      </c>
      <c r="L11" s="36" t="n"/>
      <c r="M11" s="36" t="n"/>
      <c r="N11" s="36" t="inlineStr">
        <is>
          <t>[T4 | Phase 4 | Claude (pending env)] Playwright/authenticated-API against running env. awaiting running staging URL + test accounts</t>
        </is>
      </c>
    </row>
    <row r="12" ht="53.7" customHeight="1" s="29">
      <c r="A12" s="37" t="inlineStr">
        <is>
          <t>MX-EDGE-0010</t>
        </is>
      </c>
      <c r="B12" s="54" t="inlineStr">
        <is>
          <t>P1</t>
        </is>
      </c>
      <c r="C12" s="37" t="inlineStr">
        <is>
          <t>Backend/Edge Fn</t>
        </is>
      </c>
      <c r="D12" s="37" t="inlineStr">
        <is>
          <t>start-quiz-session — Structured start/success/failure logs + correlation ID</t>
        </is>
      </c>
      <c r="E12" s="37" t="inlineStr">
        <is>
          <t>Confirms the 'Structured start/success/failure logs + correlation ID' property of the 'start-quiz-session' Edge Function. With ~90 functions across two hosts, observability and auth on EACH is what makes incidents debuggable and safe; the 17-day silent-cron outage happened because a function failed unseen.</t>
        </is>
      </c>
      <c r="F12" s="37" t="inlineStr">
        <is>
          <t>Ability to invoke the function (API client) and read its logs on the serving host.</t>
        </is>
      </c>
      <c r="G12" s="37" t="inlineStr">
        <is>
          <t>1) Invoke it and inspect logs; confirm a start log, a terminal (success/failure) log, and a correlation ID that ties them together, plus a host tag. (function: start-quiz-session).</t>
        </is>
      </c>
      <c r="H12" s="37" t="inlineStr">
        <is>
          <t>Start + terminal logs present, sharing a correlation ID and host tag.</t>
        </is>
      </c>
      <c r="I12" s="37" t="inlineStr">
        <is>
          <t>Response + log excerpt for start-quiz-session — Structured start/success/failure logs + correlation ID</t>
        </is>
      </c>
      <c r="J12" s="43" t="inlineStr">
        <is>
          <t>NOT RUN</t>
        </is>
      </c>
      <c r="K12" s="37" t="inlineStr">
        <is>
          <t>Claude (pending env)</t>
        </is>
      </c>
      <c r="L12" s="37" t="n"/>
      <c r="M12" s="37" t="n"/>
      <c r="N12" s="37" t="inlineStr">
        <is>
          <t>[T4 | Phase 4 | Claude (pending env)] Playwright/authenticated-API against running env. awaiting running staging URL + test accounts</t>
        </is>
      </c>
    </row>
    <row r="13" ht="53.7" customHeight="1" s="29">
      <c r="A13" s="36" t="inlineStr">
        <is>
          <t>MX-EDGE-0011</t>
        </is>
      </c>
      <c r="B13" s="53" t="inlineStr">
        <is>
          <t>P0</t>
        </is>
      </c>
      <c r="C13" s="36" t="inlineStr">
        <is>
          <t>Backend/Edge Fn</t>
        </is>
      </c>
      <c r="D13" s="36" t="inlineStr">
        <is>
          <t>start-quiz-session — Auth boundary</t>
        </is>
      </c>
      <c r="E13" s="36" t="inlineStr">
        <is>
          <t>Confirms the 'Auth boundary' property of the 'start-quiz-session' Edge Function. With ~90 functions across two hosts, observability and auth on EACH is what makes incidents debuggable and safe; the 17-day silent-cron outage happened because a function failed unseen.</t>
        </is>
      </c>
      <c r="F13" s="36" t="inlineStr">
        <is>
          <t>Ability to invoke the function (API client) and read its logs on the serving host.</t>
        </is>
      </c>
      <c r="G13" s="36" t="inlineStr">
        <is>
          <t>1) Invoke it without a valid session / with the wrong role (where the function is not deliberately public). (function: start-quiz-session).</t>
        </is>
      </c>
      <c r="H13" s="36" t="inlineStr">
        <is>
          <t>Rejects unauthorised callers with a structured error (or is deliberately public with an internal auth check).</t>
        </is>
      </c>
      <c r="I13" s="36" t="inlineStr">
        <is>
          <t>Response + log excerpt for start-quiz-session — Auth boundary</t>
        </is>
      </c>
      <c r="J13" s="41" t="inlineStr">
        <is>
          <t>NOT RUN</t>
        </is>
      </c>
      <c r="K13" s="36" t="inlineStr">
        <is>
          <t>Claude (pending env)</t>
        </is>
      </c>
      <c r="L13" s="36" t="n"/>
      <c r="M13" s="36" t="n"/>
      <c r="N13" s="36" t="inlineStr">
        <is>
          <t>[T4 | Phase 4 | Claude (pending env)] Playwright/authenticated-API against running env. awaiting running staging URL + test accounts</t>
        </is>
      </c>
    </row>
    <row r="14" ht="53.7" customHeight="1" s="29">
      <c r="A14" s="37" t="inlineStr">
        <is>
          <t>MX-EDGE-0012</t>
        </is>
      </c>
      <c r="B14" s="54" t="inlineStr">
        <is>
          <t>P1</t>
        </is>
      </c>
      <c r="C14" s="37" t="inlineStr">
        <is>
          <t>Backend/Edge Fn</t>
        </is>
      </c>
      <c r="D14" s="37" t="inlineStr">
        <is>
          <t>start-quiz-session — Failure path is graceful</t>
        </is>
      </c>
      <c r="E14" s="37" t="inlineStr">
        <is>
          <t>Confirms the 'Failure path is graceful' property of the 'start-quiz-session' Edge Function. With ~90 functions across two hosts, observability and auth on EACH is what makes incidents debuggable and safe; the 17-day silent-cron outage happened because a function failed unseen.</t>
        </is>
      </c>
      <c r="F14" s="37" t="inlineStr">
        <is>
          <t>Ability to invoke the function (API client) and read its logs on the serving host.</t>
        </is>
      </c>
      <c r="G14" s="37" t="inlineStr">
        <is>
          <t>1) Force its downstream dependency to fail (bad input or simulated dependency error) and observe. (function: start-quiz-session).</t>
        </is>
      </c>
      <c r="H14" s="37" t="inlineStr">
        <is>
          <t>Fails gracefully with a structured error and a failure log; no crash, no partial write, no silent success.</t>
        </is>
      </c>
      <c r="I14" s="37" t="inlineStr">
        <is>
          <t>Response + log excerpt for start-quiz-session — Failure path is graceful</t>
        </is>
      </c>
      <c r="J14" s="43" t="inlineStr">
        <is>
          <t>NOT RUN</t>
        </is>
      </c>
      <c r="K14" s="37" t="inlineStr">
        <is>
          <t>Claude (pending env)</t>
        </is>
      </c>
      <c r="L14" s="37" t="n"/>
      <c r="M14" s="37" t="n"/>
      <c r="N14" s="37" t="inlineStr">
        <is>
          <t>[T4 | Phase 4 | Claude (pending env)] Playwright/authenticated-API against running env. awaiting running staging URL + test accounts</t>
        </is>
      </c>
    </row>
    <row r="15" ht="53.7" customHeight="1" s="29">
      <c r="A15" s="36" t="inlineStr">
        <is>
          <t>MX-EDGE-0013</t>
        </is>
      </c>
      <c r="B15" s="54" t="inlineStr">
        <is>
          <t>P1</t>
        </is>
      </c>
      <c r="C15" s="36" t="inlineStr">
        <is>
          <t>Backend/Edge Fn</t>
        </is>
      </c>
      <c r="D15" s="36" t="inlineStr">
        <is>
          <t>submit-quiz-results-v2 — Happy-path smoke</t>
        </is>
      </c>
      <c r="E15" s="36" t="inlineStr">
        <is>
          <t>Confirms the 'Happy-path smoke' property of the 'submit-quiz-results-v2' Edge Function. With ~90 functions across two hosts, observability and auth on EACH is what makes incidents debuggable and safe; the 17-day silent-cron outage happened because a function failed unseen.</t>
        </is>
      </c>
      <c r="F15" s="36" t="inlineStr">
        <is>
          <t>Ability to invoke the function (API client) and read its logs on the serving host.</t>
        </is>
      </c>
      <c r="G15" s="36" t="inlineStr">
        <is>
          <t>1) Invoke the function with a valid request and confirm a correct 2xx response and expected side effect. (function: submit-quiz-results-v2).</t>
        </is>
      </c>
      <c r="H15" s="36" t="inlineStr">
        <is>
          <t>Returns success; performs its intended effect; no error.</t>
        </is>
      </c>
      <c r="I15" s="36" t="inlineStr">
        <is>
          <t>Response + log excerpt for submit-quiz-results-v2 — Happy-path smoke</t>
        </is>
      </c>
      <c r="J15" s="41" t="inlineStr">
        <is>
          <t>NOT RUN</t>
        </is>
      </c>
      <c r="K15" s="36" t="inlineStr">
        <is>
          <t>Claude (pending env)</t>
        </is>
      </c>
      <c r="L15" s="36" t="n"/>
      <c r="M15" s="36" t="n"/>
      <c r="N15" s="36" t="inlineStr">
        <is>
          <t>[T4 | Phase 4 | Claude (pending env)] Playwright/authenticated-API against running env. awaiting running staging URL + test accounts</t>
        </is>
      </c>
    </row>
    <row r="16" ht="53.7" customHeight="1" s="29">
      <c r="A16" s="37" t="inlineStr">
        <is>
          <t>MX-EDGE-0014</t>
        </is>
      </c>
      <c r="B16" s="54" t="inlineStr">
        <is>
          <t>P1</t>
        </is>
      </c>
      <c r="C16" s="37" t="inlineStr">
        <is>
          <t>Backend/Edge Fn</t>
        </is>
      </c>
      <c r="D16" s="37" t="inlineStr">
        <is>
          <t>submit-quiz-results-v2 — Structured start/success/failure logs + correlation ID</t>
        </is>
      </c>
      <c r="E16" s="37" t="inlineStr">
        <is>
          <t>Confirms the 'Structured start/success/failure logs + correlation ID' property of the 'submit-quiz-results-v2' Edge Function. With ~90 functions across two hosts, observability and auth on EACH is what makes incidents debuggable and safe; the 17-day silent-cron outage happened because a function failed unseen.</t>
        </is>
      </c>
      <c r="F16" s="37" t="inlineStr">
        <is>
          <t>Ability to invoke the function (API client) and read its logs on the serving host.</t>
        </is>
      </c>
      <c r="G16" s="37" t="inlineStr">
        <is>
          <t>1) Invoke it and inspect logs; confirm a start log, a terminal (success/failure) log, and a correlation ID that ties them together, plus a host tag. (function: submit-quiz-results-v2).</t>
        </is>
      </c>
      <c r="H16" s="37" t="inlineStr">
        <is>
          <t>Start + terminal logs present, sharing a correlation ID and host tag.</t>
        </is>
      </c>
      <c r="I16" s="37" t="inlineStr">
        <is>
          <t>Response + log excerpt for submit-quiz-results-v2 — Structured start/success/failure logs + correlation ID</t>
        </is>
      </c>
      <c r="J16" s="43" t="inlineStr">
        <is>
          <t>NOT RUN</t>
        </is>
      </c>
      <c r="K16" s="37" t="inlineStr">
        <is>
          <t>Claude (pending env)</t>
        </is>
      </c>
      <c r="L16" s="37" t="n"/>
      <c r="M16" s="37" t="n"/>
      <c r="N16" s="37" t="inlineStr">
        <is>
          <t>[T4 | Phase 4 | Claude (pending env)] Playwright/authenticated-API against running env. awaiting running staging URL + test accounts</t>
        </is>
      </c>
    </row>
    <row r="17" ht="53.7" customHeight="1" s="29">
      <c r="A17" s="36" t="inlineStr">
        <is>
          <t>MX-EDGE-0015</t>
        </is>
      </c>
      <c r="B17" s="53" t="inlineStr">
        <is>
          <t>P0</t>
        </is>
      </c>
      <c r="C17" s="36" t="inlineStr">
        <is>
          <t>Backend/Edge Fn</t>
        </is>
      </c>
      <c r="D17" s="36" t="inlineStr">
        <is>
          <t>submit-quiz-results-v2 — Auth boundary</t>
        </is>
      </c>
      <c r="E17" s="36" t="inlineStr">
        <is>
          <t>Confirms the 'Auth boundary' property of the 'submit-quiz-results-v2' Edge Function. With ~90 functions across two hosts, observability and auth on EACH is what makes incidents debuggable and safe; the 17-day silent-cron outage happened because a function failed unseen.</t>
        </is>
      </c>
      <c r="F17" s="36" t="inlineStr">
        <is>
          <t>Ability to invoke the function (API client) and read its logs on the serving host.</t>
        </is>
      </c>
      <c r="G17" s="36" t="inlineStr">
        <is>
          <t>1) Invoke it without a valid session / with the wrong role (where the function is not deliberately public). (function: submit-quiz-results-v2).</t>
        </is>
      </c>
      <c r="H17" s="36" t="inlineStr">
        <is>
          <t>Rejects unauthorised callers with a structured error (or is deliberately public with an internal auth check).</t>
        </is>
      </c>
      <c r="I17" s="36" t="inlineStr">
        <is>
          <t>Response + log excerpt for submit-quiz-results-v2 — Auth boundary</t>
        </is>
      </c>
      <c r="J17" s="41" t="inlineStr">
        <is>
          <t>NOT RUN</t>
        </is>
      </c>
      <c r="K17" s="36" t="inlineStr">
        <is>
          <t>Claude (pending env)</t>
        </is>
      </c>
      <c r="L17" s="36" t="n"/>
      <c r="M17" s="36" t="n"/>
      <c r="N17" s="36" t="inlineStr">
        <is>
          <t>[T4 | Phase 4 | Claude (pending env)] Playwright/authenticated-API against running env. awaiting running staging URL + test accounts</t>
        </is>
      </c>
    </row>
    <row r="18" ht="53.7" customHeight="1" s="29">
      <c r="A18" s="37" t="inlineStr">
        <is>
          <t>MX-EDGE-0016</t>
        </is>
      </c>
      <c r="B18" s="54" t="inlineStr">
        <is>
          <t>P1</t>
        </is>
      </c>
      <c r="C18" s="37" t="inlineStr">
        <is>
          <t>Backend/Edge Fn</t>
        </is>
      </c>
      <c r="D18" s="37" t="inlineStr">
        <is>
          <t>submit-quiz-results-v2 — Failure path is graceful</t>
        </is>
      </c>
      <c r="E18" s="37" t="inlineStr">
        <is>
          <t>Confirms the 'Failure path is graceful' property of the 'submit-quiz-results-v2' Edge Function. With ~90 functions across two hosts, observability and auth on EACH is what makes incidents debuggable and safe; the 17-day silent-cron outage happened because a function failed unseen.</t>
        </is>
      </c>
      <c r="F18" s="37" t="inlineStr">
        <is>
          <t>Ability to invoke the function (API client) and read its logs on the serving host.</t>
        </is>
      </c>
      <c r="G18" s="37" t="inlineStr">
        <is>
          <t>1) Force its downstream dependency to fail (bad input or simulated dependency error) and observe. (function: submit-quiz-results-v2).</t>
        </is>
      </c>
      <c r="H18" s="37" t="inlineStr">
        <is>
          <t>Fails gracefully with a structured error and a failure log; no crash, no partial write, no silent success.</t>
        </is>
      </c>
      <c r="I18" s="37" t="inlineStr">
        <is>
          <t>Response + log excerpt for submit-quiz-results-v2 — Failure path is graceful</t>
        </is>
      </c>
      <c r="J18" s="43" t="inlineStr">
        <is>
          <t>NOT RUN</t>
        </is>
      </c>
      <c r="K18" s="37" t="inlineStr">
        <is>
          <t>Claude (pending env)</t>
        </is>
      </c>
      <c r="L18" s="37" t="n"/>
      <c r="M18" s="37" t="n"/>
      <c r="N18" s="37" t="inlineStr">
        <is>
          <t>[T4 | Phase 4 | Claude (pending env)] Playwright/authenticated-API against running env. awaiting running staging URL + test accounts</t>
        </is>
      </c>
    </row>
    <row r="19" ht="53.7" customHeight="1" s="29">
      <c r="A19" s="36" t="inlineStr">
        <is>
          <t>MX-EDGE-0017</t>
        </is>
      </c>
      <c r="B19" s="54" t="inlineStr">
        <is>
          <t>P1</t>
        </is>
      </c>
      <c r="C19" s="36" t="inlineStr">
        <is>
          <t>Backend/Edge Fn</t>
        </is>
      </c>
      <c r="D19" s="36" t="inlineStr">
        <is>
          <t>tutor-commit-attempt — Happy-path smoke</t>
        </is>
      </c>
      <c r="E19" s="36" t="inlineStr">
        <is>
          <t>Confirms the 'Happy-path smoke' property of the 'tutor-commit-attempt' Edge Function. With ~90 functions across two hosts, observability and auth on EACH is what makes incidents debuggable and safe; the 17-day silent-cron outage happened because a function failed unseen.</t>
        </is>
      </c>
      <c r="F19" s="36" t="inlineStr">
        <is>
          <t>Ability to invoke the function (API client) and read its logs on the serving host.</t>
        </is>
      </c>
      <c r="G19" s="36" t="inlineStr">
        <is>
          <t>1) Invoke the function with a valid request and confirm a correct 2xx response and expected side effect. (function: tutor-commit-attempt).</t>
        </is>
      </c>
      <c r="H19" s="36" t="inlineStr">
        <is>
          <t>Returns success; performs its intended effect; no error.</t>
        </is>
      </c>
      <c r="I19" s="36" t="inlineStr">
        <is>
          <t>Response + log excerpt for tutor-commit-attempt — Happy-path smoke</t>
        </is>
      </c>
      <c r="J19" s="41" t="inlineStr">
        <is>
          <t>NOT RUN</t>
        </is>
      </c>
      <c r="K19" s="36" t="inlineStr">
        <is>
          <t>Claude (pending env)</t>
        </is>
      </c>
      <c r="L19" s="36" t="n"/>
      <c r="M19" s="36" t="n"/>
      <c r="N19" s="36" t="inlineStr">
        <is>
          <t>[T4 | Phase 4 | Claude (pending env)] Playwright/authenticated-API against running env. awaiting running staging URL + test accounts</t>
        </is>
      </c>
    </row>
    <row r="20" ht="53.7" customHeight="1" s="29">
      <c r="A20" s="37" t="inlineStr">
        <is>
          <t>MX-EDGE-0018</t>
        </is>
      </c>
      <c r="B20" s="54" t="inlineStr">
        <is>
          <t>P1</t>
        </is>
      </c>
      <c r="C20" s="37" t="inlineStr">
        <is>
          <t>Backend/Edge Fn</t>
        </is>
      </c>
      <c r="D20" s="37" t="inlineStr">
        <is>
          <t>tutor-commit-attempt — Structured start/success/failure logs + correlation ID</t>
        </is>
      </c>
      <c r="E20" s="37" t="inlineStr">
        <is>
          <t>Confirms the 'Structured start/success/failure logs + correlation ID' property of the 'tutor-commit-attempt' Edge Function. With ~90 functions across two hosts, observability and auth on EACH is what makes incidents debuggable and safe; the 17-day silent-cron outage happened because a function failed unseen.</t>
        </is>
      </c>
      <c r="F20" s="37" t="inlineStr">
        <is>
          <t>Ability to invoke the function (API client) and read its logs on the serving host.</t>
        </is>
      </c>
      <c r="G20" s="37" t="inlineStr">
        <is>
          <t>1) Invoke it and inspect logs; confirm a start log, a terminal (success/failure) log, and a correlation ID that ties them together, plus a host tag. (function: tutor-commit-attempt).</t>
        </is>
      </c>
      <c r="H20" s="37" t="inlineStr">
        <is>
          <t>Start + terminal logs present, sharing a correlation ID and host tag.</t>
        </is>
      </c>
      <c r="I20" s="37" t="inlineStr">
        <is>
          <t>Response + log excerpt for tutor-commit-attempt — Structured start/success/failure logs + correlation ID</t>
        </is>
      </c>
      <c r="J20" s="43" t="inlineStr">
        <is>
          <t>NOT RUN</t>
        </is>
      </c>
      <c r="K20" s="37" t="inlineStr">
        <is>
          <t>Claude (pending env)</t>
        </is>
      </c>
      <c r="L20" s="37" t="n"/>
      <c r="M20" s="37" t="n"/>
      <c r="N20" s="37" t="inlineStr">
        <is>
          <t>[T4 | Phase 4 | Claude (pending env)] Playwright/authenticated-API against running env. awaiting running staging URL + test accounts</t>
        </is>
      </c>
    </row>
    <row r="21" ht="53.7" customHeight="1" s="29">
      <c r="A21" s="36" t="inlineStr">
        <is>
          <t>MX-EDGE-0019</t>
        </is>
      </c>
      <c r="B21" s="53" t="inlineStr">
        <is>
          <t>P0</t>
        </is>
      </c>
      <c r="C21" s="36" t="inlineStr">
        <is>
          <t>Backend/Edge Fn</t>
        </is>
      </c>
      <c r="D21" s="36" t="inlineStr">
        <is>
          <t>tutor-commit-attempt — Auth boundary</t>
        </is>
      </c>
      <c r="E21" s="36" t="inlineStr">
        <is>
          <t>Confirms the 'Auth boundary' property of the 'tutor-commit-attempt' Edge Function. With ~90 functions across two hosts, observability and auth on EACH is what makes incidents debuggable and safe; the 17-day silent-cron outage happened because a function failed unseen.</t>
        </is>
      </c>
      <c r="F21" s="36" t="inlineStr">
        <is>
          <t>Ability to invoke the function (API client) and read its logs on the serving host.</t>
        </is>
      </c>
      <c r="G21" s="36" t="inlineStr">
        <is>
          <t>1) Invoke it without a valid session / with the wrong role (where the function is not deliberately public). (function: tutor-commit-attempt).</t>
        </is>
      </c>
      <c r="H21" s="36" t="inlineStr">
        <is>
          <t>Rejects unauthorised callers with a structured error (or is deliberately public with an internal auth check).</t>
        </is>
      </c>
      <c r="I21" s="36" t="inlineStr">
        <is>
          <t>Response + log excerpt for tutor-commit-attempt — Auth boundary</t>
        </is>
      </c>
      <c r="J21" s="41" t="inlineStr">
        <is>
          <t>NOT RUN</t>
        </is>
      </c>
      <c r="K21" s="36" t="inlineStr">
        <is>
          <t>Claude (pending env)</t>
        </is>
      </c>
      <c r="L21" s="36" t="n"/>
      <c r="M21" s="36" t="n"/>
      <c r="N21" s="36" t="inlineStr">
        <is>
          <t>[T4 | Phase 4 | Claude (pending env)] Playwright/authenticated-API against running env. awaiting running staging URL + test accounts</t>
        </is>
      </c>
    </row>
    <row r="22" ht="53.7" customHeight="1" s="29">
      <c r="A22" s="37" t="inlineStr">
        <is>
          <t>MX-EDGE-0020</t>
        </is>
      </c>
      <c r="B22" s="54" t="inlineStr">
        <is>
          <t>P1</t>
        </is>
      </c>
      <c r="C22" s="37" t="inlineStr">
        <is>
          <t>Backend/Edge Fn</t>
        </is>
      </c>
      <c r="D22" s="37" t="inlineStr">
        <is>
          <t>tutor-commit-attempt — Failure path is graceful</t>
        </is>
      </c>
      <c r="E22" s="37" t="inlineStr">
        <is>
          <t>Confirms the 'Failure path is graceful' property of the 'tutor-commit-attempt' Edge Function. With ~90 functions across two hosts, observability and auth on EACH is what makes incidents debuggable and safe; the 17-day silent-cron outage happened because a function failed unseen.</t>
        </is>
      </c>
      <c r="F22" s="37" t="inlineStr">
        <is>
          <t>Ability to invoke the function (API client) and read its logs on the serving host.</t>
        </is>
      </c>
      <c r="G22" s="37" t="inlineStr">
        <is>
          <t>1) Force its downstream dependency to fail (bad input or simulated dependency error) and observe. (function: tutor-commit-attempt).</t>
        </is>
      </c>
      <c r="H22" s="37" t="inlineStr">
        <is>
          <t>Fails gracefully with a structured error and a failure log; no crash, no partial write, no silent success.</t>
        </is>
      </c>
      <c r="I22" s="37" t="inlineStr">
        <is>
          <t>Response + log excerpt for tutor-commit-attempt — Failure path is graceful</t>
        </is>
      </c>
      <c r="J22" s="43" t="inlineStr">
        <is>
          <t>NOT RUN</t>
        </is>
      </c>
      <c r="K22" s="37" t="inlineStr">
        <is>
          <t>Claude (pending env)</t>
        </is>
      </c>
      <c r="L22" s="37" t="n"/>
      <c r="M22" s="37" t="n"/>
      <c r="N22" s="37" t="inlineStr">
        <is>
          <t>[T4 | Phase 4 | Claude (pending env)] Playwright/authenticated-API against running env. awaiting running staging URL + test accounts</t>
        </is>
      </c>
    </row>
    <row r="23" ht="53.7" customHeight="1" s="29">
      <c r="A23" s="36" t="inlineStr">
        <is>
          <t>MX-EDGE-0021</t>
        </is>
      </c>
      <c r="B23" s="54" t="inlineStr">
        <is>
          <t>P1</t>
        </is>
      </c>
      <c r="C23" s="36" t="inlineStr">
        <is>
          <t>Backend/Edge Fn</t>
        </is>
      </c>
      <c r="D23" s="36" t="inlineStr">
        <is>
          <t>foxy-tutor — Happy-path smoke</t>
        </is>
      </c>
      <c r="E23" s="36" t="inlineStr">
        <is>
          <t>Confirms the 'Happy-path smoke' property of the 'foxy-tutor' Edge Function. With ~90 functions across two hosts, observability and auth on EACH is what makes incidents debuggable and safe; the 17-day silent-cron outage happened because a function failed unseen.</t>
        </is>
      </c>
      <c r="F23" s="36" t="inlineStr">
        <is>
          <t>Ability to invoke the function (API client) and read its logs on the serving host.</t>
        </is>
      </c>
      <c r="G23" s="36" t="inlineStr">
        <is>
          <t>1) Invoke the function with a valid request and confirm a correct 2xx response and expected side effect. (function: foxy-tutor).</t>
        </is>
      </c>
      <c r="H23" s="36" t="inlineStr">
        <is>
          <t>Returns success; performs its intended effect; no error.</t>
        </is>
      </c>
      <c r="I23" s="36" t="inlineStr">
        <is>
          <t>Response + log excerpt for foxy-tutor — Happy-path smoke</t>
        </is>
      </c>
      <c r="J23" s="41" t="inlineStr">
        <is>
          <t>NOT RUN</t>
        </is>
      </c>
      <c r="K23" s="36" t="inlineStr">
        <is>
          <t>Claude (pending env)</t>
        </is>
      </c>
      <c r="L23" s="36" t="n"/>
      <c r="M23" s="36" t="n"/>
      <c r="N23" s="36" t="inlineStr">
        <is>
          <t>[T4 | Phase 4 | Claude (pending env)] Playwright/authenticated-API against running env. awaiting running staging URL + test accounts</t>
        </is>
      </c>
    </row>
    <row r="24" ht="53.7" customHeight="1" s="29">
      <c r="A24" s="37" t="inlineStr">
        <is>
          <t>MX-EDGE-0022</t>
        </is>
      </c>
      <c r="B24" s="54" t="inlineStr">
        <is>
          <t>P1</t>
        </is>
      </c>
      <c r="C24" s="37" t="inlineStr">
        <is>
          <t>Backend/Edge Fn</t>
        </is>
      </c>
      <c r="D24" s="37" t="inlineStr">
        <is>
          <t>foxy-tutor — Structured start/success/failure logs + correlation ID</t>
        </is>
      </c>
      <c r="E24" s="37" t="inlineStr">
        <is>
          <t>Confirms the 'Structured start/success/failure logs + correlation ID' property of the 'foxy-tutor' Edge Function. With ~90 functions across two hosts, observability and auth on EACH is what makes incidents debuggable and safe; the 17-day silent-cron outage happened because a function failed unseen.</t>
        </is>
      </c>
      <c r="F24" s="37" t="inlineStr">
        <is>
          <t>Ability to invoke the function (API client) and read its logs on the serving host.</t>
        </is>
      </c>
      <c r="G24" s="37" t="inlineStr">
        <is>
          <t>1) Invoke it and inspect logs; confirm a start log, a terminal (success/failure) log, and a correlation ID that ties them together, plus a host tag. (function: foxy-tutor).</t>
        </is>
      </c>
      <c r="H24" s="37" t="inlineStr">
        <is>
          <t>Start + terminal logs present, sharing a correlation ID and host tag.</t>
        </is>
      </c>
      <c r="I24" s="37" t="inlineStr">
        <is>
          <t>Response + log excerpt for foxy-tutor — Structured start/success/failure logs + correlation ID</t>
        </is>
      </c>
      <c r="J24" s="43" t="inlineStr">
        <is>
          <t>NOT RUN</t>
        </is>
      </c>
      <c r="K24" s="37" t="inlineStr">
        <is>
          <t>Claude (pending env)</t>
        </is>
      </c>
      <c r="L24" s="37" t="n"/>
      <c r="M24" s="37" t="n"/>
      <c r="N24" s="37" t="inlineStr">
        <is>
          <t>[T4 | Phase 4 | Claude (pending env)] Playwright/authenticated-API against running env. awaiting running staging URL + test accounts</t>
        </is>
      </c>
    </row>
    <row r="25" ht="53.7" customHeight="1" s="29">
      <c r="A25" s="36" t="inlineStr">
        <is>
          <t>MX-EDGE-0023</t>
        </is>
      </c>
      <c r="B25" s="53" t="inlineStr">
        <is>
          <t>P0</t>
        </is>
      </c>
      <c r="C25" s="36" t="inlineStr">
        <is>
          <t>Backend/Edge Fn</t>
        </is>
      </c>
      <c r="D25" s="36" t="inlineStr">
        <is>
          <t>foxy-tutor — Auth boundary</t>
        </is>
      </c>
      <c r="E25" s="36" t="inlineStr">
        <is>
          <t>Confirms the 'Auth boundary' property of the 'foxy-tutor' Edge Function. With ~90 functions across two hosts, observability and auth on EACH is what makes incidents debuggable and safe; the 17-day silent-cron outage happened because a function failed unseen.</t>
        </is>
      </c>
      <c r="F25" s="36" t="inlineStr">
        <is>
          <t>Ability to invoke the function (API client) and read its logs on the serving host.</t>
        </is>
      </c>
      <c r="G25" s="36" t="inlineStr">
        <is>
          <t>1) Invoke it without a valid session / with the wrong role (where the function is not deliberately public). (function: foxy-tutor).</t>
        </is>
      </c>
      <c r="H25" s="36" t="inlineStr">
        <is>
          <t>Rejects unauthorised callers with a structured error (or is deliberately public with an internal auth check).</t>
        </is>
      </c>
      <c r="I25" s="36" t="inlineStr">
        <is>
          <t>Response + log excerpt for foxy-tutor — Auth boundary</t>
        </is>
      </c>
      <c r="J25" s="41" t="inlineStr">
        <is>
          <t>NOT RUN</t>
        </is>
      </c>
      <c r="K25" s="36" t="inlineStr">
        <is>
          <t>Claude (pending env)</t>
        </is>
      </c>
      <c r="L25" s="36" t="n"/>
      <c r="M25" s="36" t="n"/>
      <c r="N25" s="36" t="inlineStr">
        <is>
          <t>[T4 | Phase 4 | Claude (pending env)] Playwright/authenticated-API against running env. awaiting running staging URL + test accounts</t>
        </is>
      </c>
    </row>
    <row r="26" ht="53.7" customHeight="1" s="29">
      <c r="A26" s="37" t="inlineStr">
        <is>
          <t>MX-EDGE-0024</t>
        </is>
      </c>
      <c r="B26" s="54" t="inlineStr">
        <is>
          <t>P1</t>
        </is>
      </c>
      <c r="C26" s="37" t="inlineStr">
        <is>
          <t>Backend/Edge Fn</t>
        </is>
      </c>
      <c r="D26" s="37" t="inlineStr">
        <is>
          <t>foxy-tutor — Failure path is graceful</t>
        </is>
      </c>
      <c r="E26" s="37" t="inlineStr">
        <is>
          <t>Confirms the 'Failure path is graceful' property of the 'foxy-tutor' Edge Function. With ~90 functions across two hosts, observability and auth on EACH is what makes incidents debuggable and safe; the 17-day silent-cron outage happened because a function failed unseen.</t>
        </is>
      </c>
      <c r="F26" s="37" t="inlineStr">
        <is>
          <t>Ability to invoke the function (API client) and read its logs on the serving host.</t>
        </is>
      </c>
      <c r="G26" s="37" t="inlineStr">
        <is>
          <t>1) Force its downstream dependency to fail (bad input or simulated dependency error) and observe. (function: foxy-tutor).</t>
        </is>
      </c>
      <c r="H26" s="37" t="inlineStr">
        <is>
          <t>Fails gracefully with a structured error and a failure log; no crash, no partial write, no silent success.</t>
        </is>
      </c>
      <c r="I26" s="37" t="inlineStr">
        <is>
          <t>Response + log excerpt for foxy-tutor — Failure path is graceful</t>
        </is>
      </c>
      <c r="J26" s="43" t="inlineStr">
        <is>
          <t>NOT RUN</t>
        </is>
      </c>
      <c r="K26" s="37" t="inlineStr">
        <is>
          <t>Claude (pending env)</t>
        </is>
      </c>
      <c r="L26" s="37" t="n"/>
      <c r="M26" s="37" t="n"/>
      <c r="N26" s="37" t="inlineStr">
        <is>
          <t>[T4 | Phase 4 | Claude (pending env)] Playwright/authenticated-API against running env. awaiting running staging URL + test accounts</t>
        </is>
      </c>
    </row>
    <row r="27" ht="53.7" customHeight="1" s="29">
      <c r="A27" s="36" t="inlineStr">
        <is>
          <t>MX-EDGE-0025</t>
        </is>
      </c>
      <c r="B27" s="54" t="inlineStr">
        <is>
          <t>P1</t>
        </is>
      </c>
      <c r="C27" s="36" t="inlineStr">
        <is>
          <t>Backend/Edge Fn</t>
        </is>
      </c>
      <c r="D27" s="36" t="inlineStr">
        <is>
          <t>grounded-answer — Happy-path smoke</t>
        </is>
      </c>
      <c r="E27" s="36" t="inlineStr">
        <is>
          <t>Confirms the 'Happy-path smoke' property of the 'grounded-answer' Edge Function. With ~90 functions across two hosts, observability and auth on EACH is what makes incidents debuggable and safe; the 17-day silent-cron outage happened because a function failed unseen.</t>
        </is>
      </c>
      <c r="F27" s="36" t="inlineStr">
        <is>
          <t>Ability to invoke the function (API client) and read its logs on the serving host.</t>
        </is>
      </c>
      <c r="G27" s="36" t="inlineStr">
        <is>
          <t>1) Invoke the function with a valid request and confirm a correct 2xx response and expected side effect. (function: grounded-answer).</t>
        </is>
      </c>
      <c r="H27" s="36" t="inlineStr">
        <is>
          <t>Returns success; performs its intended effect; no error.</t>
        </is>
      </c>
      <c r="I27" s="36" t="inlineStr">
        <is>
          <t>Response + log excerpt for grounded-answer — Happy-path smoke</t>
        </is>
      </c>
      <c r="J27" s="41" t="inlineStr">
        <is>
          <t>NOT RUN</t>
        </is>
      </c>
      <c r="K27" s="36" t="inlineStr">
        <is>
          <t>Claude (pending env)</t>
        </is>
      </c>
      <c r="L27" s="36" t="n"/>
      <c r="M27" s="36" t="n"/>
      <c r="N27" s="36" t="inlineStr">
        <is>
          <t>[T4 | Phase 4 | Claude (pending env)] Playwright/authenticated-API against running env. awaiting running staging URL + test accounts</t>
        </is>
      </c>
    </row>
    <row r="28" ht="53.7" customHeight="1" s="29">
      <c r="A28" s="37" t="inlineStr">
        <is>
          <t>MX-EDGE-0026</t>
        </is>
      </c>
      <c r="B28" s="54" t="inlineStr">
        <is>
          <t>P1</t>
        </is>
      </c>
      <c r="C28" s="37" t="inlineStr">
        <is>
          <t>Backend/Edge Fn</t>
        </is>
      </c>
      <c r="D28" s="37" t="inlineStr">
        <is>
          <t>grounded-answer — Structured start/success/failure logs + correlation ID</t>
        </is>
      </c>
      <c r="E28" s="37" t="inlineStr">
        <is>
          <t>Confirms the 'Structured start/success/failure logs + correlation ID' property of the 'grounded-answer' Edge Function. With ~90 functions across two hosts, observability and auth on EACH is what makes incidents debuggable and safe; the 17-day silent-cron outage happened because a function failed unseen.</t>
        </is>
      </c>
      <c r="F28" s="37" t="inlineStr">
        <is>
          <t>Ability to invoke the function (API client) and read its logs on the serving host.</t>
        </is>
      </c>
      <c r="G28" s="37" t="inlineStr">
        <is>
          <t>1) Invoke it and inspect logs; confirm a start log, a terminal (success/failure) log, and a correlation ID that ties them together, plus a host tag. (function: grounded-answer).</t>
        </is>
      </c>
      <c r="H28" s="37" t="inlineStr">
        <is>
          <t>Start + terminal logs present, sharing a correlation ID and host tag.</t>
        </is>
      </c>
      <c r="I28" s="37" t="inlineStr">
        <is>
          <t>Response + log excerpt for grounded-answer — Structured start/success/failure logs + correlation ID</t>
        </is>
      </c>
      <c r="J28" s="43" t="inlineStr">
        <is>
          <t>NOT RUN</t>
        </is>
      </c>
      <c r="K28" s="37" t="inlineStr">
        <is>
          <t>Claude (pending env)</t>
        </is>
      </c>
      <c r="L28" s="37" t="n"/>
      <c r="M28" s="37" t="n"/>
      <c r="N28" s="37" t="inlineStr">
        <is>
          <t>[T4 | Phase 4 | Claude (pending env)] Playwright/authenticated-API against running env. awaiting running staging URL + test accounts</t>
        </is>
      </c>
    </row>
    <row r="29" ht="53.7" customHeight="1" s="29">
      <c r="A29" s="36" t="inlineStr">
        <is>
          <t>MX-EDGE-0027</t>
        </is>
      </c>
      <c r="B29" s="53" t="inlineStr">
        <is>
          <t>P0</t>
        </is>
      </c>
      <c r="C29" s="36" t="inlineStr">
        <is>
          <t>Backend/Edge Fn</t>
        </is>
      </c>
      <c r="D29" s="36" t="inlineStr">
        <is>
          <t>grounded-answer — Auth boundary</t>
        </is>
      </c>
      <c r="E29" s="36" t="inlineStr">
        <is>
          <t>Confirms the 'Auth boundary' property of the 'grounded-answer' Edge Function. With ~90 functions across two hosts, observability and auth on EACH is what makes incidents debuggable and safe; the 17-day silent-cron outage happened because a function failed unseen.</t>
        </is>
      </c>
      <c r="F29" s="36" t="inlineStr">
        <is>
          <t>Ability to invoke the function (API client) and read its logs on the serving host.</t>
        </is>
      </c>
      <c r="G29" s="36" t="inlineStr">
        <is>
          <t>1) Invoke it without a valid session / with the wrong role (where the function is not deliberately public). (function: grounded-answer).</t>
        </is>
      </c>
      <c r="H29" s="36" t="inlineStr">
        <is>
          <t>Rejects unauthorised callers with a structured error (or is deliberately public with an internal auth check).</t>
        </is>
      </c>
      <c r="I29" s="36" t="inlineStr">
        <is>
          <t>Response + log excerpt for grounded-answer — Auth boundary</t>
        </is>
      </c>
      <c r="J29" s="41" t="inlineStr">
        <is>
          <t>NOT RUN</t>
        </is>
      </c>
      <c r="K29" s="36" t="inlineStr">
        <is>
          <t>Claude (pending env)</t>
        </is>
      </c>
      <c r="L29" s="36" t="n"/>
      <c r="M29" s="36" t="n"/>
      <c r="N29" s="36" t="inlineStr">
        <is>
          <t>[T4 | Phase 4 | Claude (pending env)] Playwright/authenticated-API against running env. awaiting running staging URL + test accounts</t>
        </is>
      </c>
    </row>
    <row r="30" ht="53.7" customHeight="1" s="29">
      <c r="A30" s="37" t="inlineStr">
        <is>
          <t>MX-EDGE-0028</t>
        </is>
      </c>
      <c r="B30" s="54" t="inlineStr">
        <is>
          <t>P1</t>
        </is>
      </c>
      <c r="C30" s="37" t="inlineStr">
        <is>
          <t>Backend/Edge Fn</t>
        </is>
      </c>
      <c r="D30" s="37" t="inlineStr">
        <is>
          <t>grounded-answer — Failure path is graceful</t>
        </is>
      </c>
      <c r="E30" s="37" t="inlineStr">
        <is>
          <t>Confirms the 'Failure path is graceful' property of the 'grounded-answer' Edge Function. With ~90 functions across two hosts, observability and auth on EACH is what makes incidents debuggable and safe; the 17-day silent-cron outage happened because a function failed unseen.</t>
        </is>
      </c>
      <c r="F30" s="37" t="inlineStr">
        <is>
          <t>Ability to invoke the function (API client) and read its logs on the serving host.</t>
        </is>
      </c>
      <c r="G30" s="37" t="inlineStr">
        <is>
          <t>1) Force its downstream dependency to fail (bad input or simulated dependency error) and observe. (function: grounded-answer).</t>
        </is>
      </c>
      <c r="H30" s="37" t="inlineStr">
        <is>
          <t>Fails gracefully with a structured error and a failure log; no crash, no partial write, no silent success.</t>
        </is>
      </c>
      <c r="I30" s="37" t="inlineStr">
        <is>
          <t>Response + log excerpt for grounded-answer — Failure path is graceful</t>
        </is>
      </c>
      <c r="J30" s="43" t="inlineStr">
        <is>
          <t>NOT RUN</t>
        </is>
      </c>
      <c r="K30" s="37" t="inlineStr">
        <is>
          <t>Claude (pending env)</t>
        </is>
      </c>
      <c r="L30" s="37" t="n"/>
      <c r="M30" s="37" t="n"/>
      <c r="N30" s="37" t="inlineStr">
        <is>
          <t>[T4 | Phase 4 | Claude (pending env)] Playwright/authenticated-API against running env. awaiting running staging URL + test accounts</t>
        </is>
      </c>
    </row>
    <row r="31" ht="53.7" customHeight="1" s="29">
      <c r="A31" s="36" t="inlineStr">
        <is>
          <t>MX-EDGE-0029</t>
        </is>
      </c>
      <c r="B31" s="54" t="inlineStr">
        <is>
          <t>P1</t>
        </is>
      </c>
      <c r="C31" s="36" t="inlineStr">
        <is>
          <t>Backend/Edge Fn</t>
        </is>
      </c>
      <c r="D31" s="36" t="inlineStr">
        <is>
          <t>quiz-generator — Happy-path smoke</t>
        </is>
      </c>
      <c r="E31" s="36" t="inlineStr">
        <is>
          <t>Confirms the 'Happy-path smoke' property of the 'quiz-generator' Edge Function. With ~90 functions across two hosts, observability and auth on EACH is what makes incidents debuggable and safe; the 17-day silent-cron outage happened because a function failed unseen.</t>
        </is>
      </c>
      <c r="F31" s="36" t="inlineStr">
        <is>
          <t>Ability to invoke the function (API client) and read its logs on the serving host.</t>
        </is>
      </c>
      <c r="G31" s="36" t="inlineStr">
        <is>
          <t>1) Invoke the function with a valid request and confirm a correct 2xx response and expected side effect. (function: quiz-generator).</t>
        </is>
      </c>
      <c r="H31" s="36" t="inlineStr">
        <is>
          <t>Returns success; performs its intended effect; no error.</t>
        </is>
      </c>
      <c r="I31" s="36" t="inlineStr">
        <is>
          <t>Response + log excerpt for quiz-generator — Happy-path smoke</t>
        </is>
      </c>
      <c r="J31" s="41" t="inlineStr">
        <is>
          <t>NOT RUN</t>
        </is>
      </c>
      <c r="K31" s="36" t="inlineStr">
        <is>
          <t>Claude (pending env)</t>
        </is>
      </c>
      <c r="L31" s="36" t="n"/>
      <c r="M31" s="36" t="n"/>
      <c r="N31" s="36" t="inlineStr">
        <is>
          <t>[T4 | Phase 4 | Claude (pending env)] Playwright/authenticated-API against running env. awaiting running staging URL + test accounts</t>
        </is>
      </c>
    </row>
    <row r="32" ht="53.7" customHeight="1" s="29">
      <c r="A32" s="37" t="inlineStr">
        <is>
          <t>MX-EDGE-0030</t>
        </is>
      </c>
      <c r="B32" s="54" t="inlineStr">
        <is>
          <t>P1</t>
        </is>
      </c>
      <c r="C32" s="37" t="inlineStr">
        <is>
          <t>Backend/Edge Fn</t>
        </is>
      </c>
      <c r="D32" s="37" t="inlineStr">
        <is>
          <t>quiz-generator — Structured start/success/failure logs + correlation ID</t>
        </is>
      </c>
      <c r="E32" s="37" t="inlineStr">
        <is>
          <t>Confirms the 'Structured start/success/failure logs + correlation ID' property of the 'quiz-generator' Edge Function. With ~90 functions across two hosts, observability and auth on EACH is what makes incidents debuggable and safe; the 17-day silent-cron outage happened because a function failed unseen.</t>
        </is>
      </c>
      <c r="F32" s="37" t="inlineStr">
        <is>
          <t>Ability to invoke the function (API client) and read its logs on the serving host.</t>
        </is>
      </c>
      <c r="G32" s="37" t="inlineStr">
        <is>
          <t>1) Invoke it and inspect logs; confirm a start log, a terminal (success/failure) log, and a correlation ID that ties them together, plus a host tag. (function: quiz-generator).</t>
        </is>
      </c>
      <c r="H32" s="37" t="inlineStr">
        <is>
          <t>Start + terminal logs present, sharing a correlation ID and host tag.</t>
        </is>
      </c>
      <c r="I32" s="37" t="inlineStr">
        <is>
          <t>Response + log excerpt for quiz-generator — Structured start/success/failure logs + correlation ID</t>
        </is>
      </c>
      <c r="J32" s="43" t="inlineStr">
        <is>
          <t>NOT RUN</t>
        </is>
      </c>
      <c r="K32" s="37" t="inlineStr">
        <is>
          <t>Claude (pending env)</t>
        </is>
      </c>
      <c r="L32" s="37" t="n"/>
      <c r="M32" s="37" t="n"/>
      <c r="N32" s="37" t="inlineStr">
        <is>
          <t>[T4 | Phase 4 | Claude (pending env)] Playwright/authenticated-API against running env. awaiting running staging URL + test accounts</t>
        </is>
      </c>
    </row>
    <row r="33" ht="53.7" customHeight="1" s="29">
      <c r="A33" s="36" t="inlineStr">
        <is>
          <t>MX-EDGE-0031</t>
        </is>
      </c>
      <c r="B33" s="53" t="inlineStr">
        <is>
          <t>P0</t>
        </is>
      </c>
      <c r="C33" s="36" t="inlineStr">
        <is>
          <t>Backend/Edge Fn</t>
        </is>
      </c>
      <c r="D33" s="36" t="inlineStr">
        <is>
          <t>quiz-generator — Auth boundary</t>
        </is>
      </c>
      <c r="E33" s="36" t="inlineStr">
        <is>
          <t>Confirms the 'Auth boundary' property of the 'quiz-generator' Edge Function. With ~90 functions across two hosts, observability and auth on EACH is what makes incidents debuggable and safe; the 17-day silent-cron outage happened because a function failed unseen.</t>
        </is>
      </c>
      <c r="F33" s="36" t="inlineStr">
        <is>
          <t>Ability to invoke the function (API client) and read its logs on the serving host.</t>
        </is>
      </c>
      <c r="G33" s="36" t="inlineStr">
        <is>
          <t>1) Invoke it without a valid session / with the wrong role (where the function is not deliberately public). (function: quiz-generator).</t>
        </is>
      </c>
      <c r="H33" s="36" t="inlineStr">
        <is>
          <t>Rejects unauthorised callers with a structured error (or is deliberately public with an internal auth check).</t>
        </is>
      </c>
      <c r="I33" s="36" t="inlineStr">
        <is>
          <t>Response + log excerpt for quiz-generator — Auth boundary</t>
        </is>
      </c>
      <c r="J33" s="41" t="inlineStr">
        <is>
          <t>NOT RUN</t>
        </is>
      </c>
      <c r="K33" s="36" t="inlineStr">
        <is>
          <t>Claude (pending env)</t>
        </is>
      </c>
      <c r="L33" s="36" t="n"/>
      <c r="M33" s="36" t="n"/>
      <c r="N33" s="36" t="inlineStr">
        <is>
          <t>[T4 | Phase 4 | Claude (pending env)] Playwright/authenticated-API against running env. awaiting running staging URL + test accounts</t>
        </is>
      </c>
    </row>
    <row r="34" ht="53.7" customHeight="1" s="29">
      <c r="A34" s="37" t="inlineStr">
        <is>
          <t>MX-EDGE-0032</t>
        </is>
      </c>
      <c r="B34" s="54" t="inlineStr">
        <is>
          <t>P1</t>
        </is>
      </c>
      <c r="C34" s="37" t="inlineStr">
        <is>
          <t>Backend/Edge Fn</t>
        </is>
      </c>
      <c r="D34" s="37" t="inlineStr">
        <is>
          <t>quiz-generator — Failure path is graceful</t>
        </is>
      </c>
      <c r="E34" s="37" t="inlineStr">
        <is>
          <t>Confirms the 'Failure path is graceful' property of the 'quiz-generator' Edge Function. With ~90 functions across two hosts, observability and auth on EACH is what makes incidents debuggable and safe; the 17-day silent-cron outage happened because a function failed unseen.</t>
        </is>
      </c>
      <c r="F34" s="37" t="inlineStr">
        <is>
          <t>Ability to invoke the function (API client) and read its logs on the serving host.</t>
        </is>
      </c>
      <c r="G34" s="37" t="inlineStr">
        <is>
          <t>1) Force its downstream dependency to fail (bad input or simulated dependency error) and observe. (function: quiz-generator).</t>
        </is>
      </c>
      <c r="H34" s="37" t="inlineStr">
        <is>
          <t>Fails gracefully with a structured error and a failure log; no crash, no partial write, no silent success.</t>
        </is>
      </c>
      <c r="I34" s="37" t="inlineStr">
        <is>
          <t>Response + log excerpt for quiz-generator — Failure path is graceful</t>
        </is>
      </c>
      <c r="J34" s="43" t="inlineStr">
        <is>
          <t>NOT RUN</t>
        </is>
      </c>
      <c r="K34" s="37" t="inlineStr">
        <is>
          <t>Claude (pending env)</t>
        </is>
      </c>
      <c r="L34" s="37" t="n"/>
      <c r="M34" s="37" t="n"/>
      <c r="N34" s="37" t="inlineStr">
        <is>
          <t>[T4 | Phase 4 | Claude (pending env)] Playwright/authenticated-API against running env. awaiting running staging URL + test accounts</t>
        </is>
      </c>
    </row>
    <row r="35" ht="53.7" customHeight="1" s="29">
      <c r="A35" s="36" t="inlineStr">
        <is>
          <t>MX-EDGE-0033</t>
        </is>
      </c>
      <c r="B35" s="54" t="inlineStr">
        <is>
          <t>P1</t>
        </is>
      </c>
      <c r="C35" s="36" t="inlineStr">
        <is>
          <t>Backend/Edge Fn</t>
        </is>
      </c>
      <c r="D35" s="36" t="inlineStr">
        <is>
          <t>bulk-question-gen — Happy-path smoke</t>
        </is>
      </c>
      <c r="E35" s="36" t="inlineStr">
        <is>
          <t>Confirms the 'Happy-path smoke' property of the 'bulk-question-gen' Edge Function. With ~90 functions across two hosts, observability and auth on EACH is what makes incidents debuggable and safe; the 17-day silent-cron outage happened because a function failed unseen.</t>
        </is>
      </c>
      <c r="F35" s="36" t="inlineStr">
        <is>
          <t>Ability to invoke the function (API client) and read its logs on the serving host.</t>
        </is>
      </c>
      <c r="G35" s="36" t="inlineStr">
        <is>
          <t>1) Invoke the function with a valid request and confirm a correct 2xx response and expected side effect. (function: bulk-question-gen).</t>
        </is>
      </c>
      <c r="H35" s="36" t="inlineStr">
        <is>
          <t>Returns success; performs its intended effect; no error.</t>
        </is>
      </c>
      <c r="I35" s="36" t="inlineStr">
        <is>
          <t>Response + log excerpt for bulk-question-gen — Happy-path smoke</t>
        </is>
      </c>
      <c r="J35" s="41" t="inlineStr">
        <is>
          <t>NOT RUN</t>
        </is>
      </c>
      <c r="K35" s="36" t="inlineStr">
        <is>
          <t>Claude (pending env)</t>
        </is>
      </c>
      <c r="L35" s="36" t="n"/>
      <c r="M35" s="36" t="n"/>
      <c r="N35" s="36" t="inlineStr">
        <is>
          <t>[T4 | Phase 4 | Claude (pending env)] Playwright/authenticated-API against running env. awaiting running staging URL + test accounts</t>
        </is>
      </c>
    </row>
    <row r="36" ht="53.7" customHeight="1" s="29">
      <c r="A36" s="37" t="inlineStr">
        <is>
          <t>MX-EDGE-0034</t>
        </is>
      </c>
      <c r="B36" s="54" t="inlineStr">
        <is>
          <t>P1</t>
        </is>
      </c>
      <c r="C36" s="37" t="inlineStr">
        <is>
          <t>Backend/Edge Fn</t>
        </is>
      </c>
      <c r="D36" s="37" t="inlineStr">
        <is>
          <t>bulk-question-gen — Structured start/success/failure logs + correlation ID</t>
        </is>
      </c>
      <c r="E36" s="37" t="inlineStr">
        <is>
          <t>Confirms the 'Structured start/success/failure logs + correlation ID' property of the 'bulk-question-gen' Edge Function. With ~90 functions across two hosts, observability and auth on EACH is what makes incidents debuggable and safe; the 17-day silent-cron outage happened because a function failed unseen.</t>
        </is>
      </c>
      <c r="F36" s="37" t="inlineStr">
        <is>
          <t>Ability to invoke the function (API client) and read its logs on the serving host.</t>
        </is>
      </c>
      <c r="G36" s="37" t="inlineStr">
        <is>
          <t>1) Invoke it and inspect logs; confirm a start log, a terminal (success/failure) log, and a correlation ID that ties them together, plus a host tag. (function: bulk-question-gen).</t>
        </is>
      </c>
      <c r="H36" s="37" t="inlineStr">
        <is>
          <t>Start + terminal logs present, sharing a correlation ID and host tag.</t>
        </is>
      </c>
      <c r="I36" s="37" t="inlineStr">
        <is>
          <t>Response + log excerpt for bulk-question-gen — Structured start/success/failure logs + correlation ID</t>
        </is>
      </c>
      <c r="J36" s="43" t="inlineStr">
        <is>
          <t>NOT RUN</t>
        </is>
      </c>
      <c r="K36" s="37" t="inlineStr">
        <is>
          <t>Claude (pending env)</t>
        </is>
      </c>
      <c r="L36" s="37" t="n"/>
      <c r="M36" s="37" t="n"/>
      <c r="N36" s="37" t="inlineStr">
        <is>
          <t>[T4 | Phase 4 | Claude (pending env)] Playwright/authenticated-API against running env. awaiting running staging URL + test accounts</t>
        </is>
      </c>
    </row>
    <row r="37" ht="53.7" customHeight="1" s="29">
      <c r="A37" s="36" t="inlineStr">
        <is>
          <t>MX-EDGE-0035</t>
        </is>
      </c>
      <c r="B37" s="53" t="inlineStr">
        <is>
          <t>P0</t>
        </is>
      </c>
      <c r="C37" s="36" t="inlineStr">
        <is>
          <t>Backend/Edge Fn</t>
        </is>
      </c>
      <c r="D37" s="36" t="inlineStr">
        <is>
          <t>bulk-question-gen — Auth boundary</t>
        </is>
      </c>
      <c r="E37" s="36" t="inlineStr">
        <is>
          <t>Confirms the 'Auth boundary' property of the 'bulk-question-gen' Edge Function. With ~90 functions across two hosts, observability and auth on EACH is what makes incidents debuggable and safe; the 17-day silent-cron outage happened because a function failed unseen.</t>
        </is>
      </c>
      <c r="F37" s="36" t="inlineStr">
        <is>
          <t>Ability to invoke the function (API client) and read its logs on the serving host.</t>
        </is>
      </c>
      <c r="G37" s="36" t="inlineStr">
        <is>
          <t>1) Invoke it without a valid session / with the wrong role (where the function is not deliberately public). (function: bulk-question-gen).</t>
        </is>
      </c>
      <c r="H37" s="36" t="inlineStr">
        <is>
          <t>Rejects unauthorised callers with a structured error (or is deliberately public with an internal auth check).</t>
        </is>
      </c>
      <c r="I37" s="36" t="inlineStr">
        <is>
          <t>Response + log excerpt for bulk-question-gen — Auth boundary</t>
        </is>
      </c>
      <c r="J37" s="41" t="inlineStr">
        <is>
          <t>NOT RUN</t>
        </is>
      </c>
      <c r="K37" s="36" t="inlineStr">
        <is>
          <t>Claude (pending env)</t>
        </is>
      </c>
      <c r="L37" s="36" t="n"/>
      <c r="M37" s="36" t="n"/>
      <c r="N37" s="36" t="inlineStr">
        <is>
          <t>[T4 | Phase 4 | Claude (pending env)] Playwright/authenticated-API against running env. awaiting running staging URL + test accounts</t>
        </is>
      </c>
    </row>
    <row r="38" ht="53.7" customHeight="1" s="29">
      <c r="A38" s="37" t="inlineStr">
        <is>
          <t>MX-EDGE-0036</t>
        </is>
      </c>
      <c r="B38" s="54" t="inlineStr">
        <is>
          <t>P1</t>
        </is>
      </c>
      <c r="C38" s="37" t="inlineStr">
        <is>
          <t>Backend/Edge Fn</t>
        </is>
      </c>
      <c r="D38" s="37" t="inlineStr">
        <is>
          <t>bulk-question-gen — Failure path is graceful</t>
        </is>
      </c>
      <c r="E38" s="37" t="inlineStr">
        <is>
          <t>Confirms the 'Failure path is graceful' property of the 'bulk-question-gen' Edge Function. With ~90 functions across two hosts, observability and auth on EACH is what makes incidents debuggable and safe; the 17-day silent-cron outage happened because a function failed unseen.</t>
        </is>
      </c>
      <c r="F38" s="37" t="inlineStr">
        <is>
          <t>Ability to invoke the function (API client) and read its logs on the serving host.</t>
        </is>
      </c>
      <c r="G38" s="37" t="inlineStr">
        <is>
          <t>1) Force its downstream dependency to fail (bad input or simulated dependency error) and observe. (function: bulk-question-gen).</t>
        </is>
      </c>
      <c r="H38" s="37" t="inlineStr">
        <is>
          <t>Fails gracefully with a structured error and a failure log; no crash, no partial write, no silent success.</t>
        </is>
      </c>
      <c r="I38" s="37" t="inlineStr">
        <is>
          <t>Response + log excerpt for bulk-question-gen — Failure path is graceful</t>
        </is>
      </c>
      <c r="J38" s="43" t="inlineStr">
        <is>
          <t>NOT RUN</t>
        </is>
      </c>
      <c r="K38" s="37" t="inlineStr">
        <is>
          <t>Claude (pending env)</t>
        </is>
      </c>
      <c r="L38" s="37" t="n"/>
      <c r="M38" s="37" t="n"/>
      <c r="N38" s="37" t="inlineStr">
        <is>
          <t>[T4 | Phase 4 | Claude (pending env)] Playwright/authenticated-API against running env. awaiting running staging URL + test accounts</t>
        </is>
      </c>
    </row>
    <row r="39" ht="53.7" customHeight="1" s="29">
      <c r="A39" s="36" t="inlineStr">
        <is>
          <t>MX-EDGE-0037</t>
        </is>
      </c>
      <c r="B39" s="54" t="inlineStr">
        <is>
          <t>P1</t>
        </is>
      </c>
      <c r="C39" s="36" t="inlineStr">
        <is>
          <t>Backend/Edge Fn</t>
        </is>
      </c>
      <c r="D39" s="36" t="inlineStr">
        <is>
          <t>verify-question-bank — Happy-path smoke</t>
        </is>
      </c>
      <c r="E39" s="36" t="inlineStr">
        <is>
          <t>Confirms the 'Happy-path smoke' property of the 'verify-question-bank' Edge Function. With ~90 functions across two hosts, observability and auth on EACH is what makes incidents debuggable and safe; the 17-day silent-cron outage happened because a function failed unseen.</t>
        </is>
      </c>
      <c r="F39" s="36" t="inlineStr">
        <is>
          <t>Ability to invoke the function (API client) and read its logs on the serving host.</t>
        </is>
      </c>
      <c r="G39" s="36" t="inlineStr">
        <is>
          <t>1) Invoke the function with a valid request and confirm a correct 2xx response and expected side effect. (function: verify-question-bank).</t>
        </is>
      </c>
      <c r="H39" s="36" t="inlineStr">
        <is>
          <t>Returns success; performs its intended effect; no error.</t>
        </is>
      </c>
      <c r="I39" s="36" t="inlineStr">
        <is>
          <t>Response + log excerpt for verify-question-bank — Happy-path smoke</t>
        </is>
      </c>
      <c r="J39" s="41" t="inlineStr">
        <is>
          <t>NOT RUN</t>
        </is>
      </c>
      <c r="K39" s="36" t="inlineStr">
        <is>
          <t>Claude (pending env)</t>
        </is>
      </c>
      <c r="L39" s="36" t="n"/>
      <c r="M39" s="36" t="n"/>
      <c r="N39" s="36" t="inlineStr">
        <is>
          <t>[T4 | Phase 4 | Claude (pending env)] Playwright/authenticated-API against running env. awaiting running staging URL + test accounts</t>
        </is>
      </c>
    </row>
    <row r="40" ht="53.7" customHeight="1" s="29">
      <c r="A40" s="37" t="inlineStr">
        <is>
          <t>MX-EDGE-0038</t>
        </is>
      </c>
      <c r="B40" s="54" t="inlineStr">
        <is>
          <t>P1</t>
        </is>
      </c>
      <c r="C40" s="37" t="inlineStr">
        <is>
          <t>Backend/Edge Fn</t>
        </is>
      </c>
      <c r="D40" s="37" t="inlineStr">
        <is>
          <t>verify-question-bank — Structured start/success/failure logs + correlation ID</t>
        </is>
      </c>
      <c r="E40" s="37" t="inlineStr">
        <is>
          <t>Confirms the 'Structured start/success/failure logs + correlation ID' property of the 'verify-question-bank' Edge Function. With ~90 functions across two hosts, observability and auth on EACH is what makes incidents debuggable and safe; the 17-day silent-cron outage happened because a function failed unseen.</t>
        </is>
      </c>
      <c r="F40" s="37" t="inlineStr">
        <is>
          <t>Ability to invoke the function (API client) and read its logs on the serving host.</t>
        </is>
      </c>
      <c r="G40" s="37" t="inlineStr">
        <is>
          <t>1) Invoke it and inspect logs; confirm a start log, a terminal (success/failure) log, and a correlation ID that ties them together, plus a host tag. (function: verify-question-bank).</t>
        </is>
      </c>
      <c r="H40" s="37" t="inlineStr">
        <is>
          <t>Start + terminal logs present, sharing a correlation ID and host tag.</t>
        </is>
      </c>
      <c r="I40" s="37" t="inlineStr">
        <is>
          <t>Response + log excerpt for verify-question-bank — Structured start/success/failure logs + correlation ID</t>
        </is>
      </c>
      <c r="J40" s="43" t="inlineStr">
        <is>
          <t>NOT RUN</t>
        </is>
      </c>
      <c r="K40" s="37" t="inlineStr">
        <is>
          <t>Claude (pending env)</t>
        </is>
      </c>
      <c r="L40" s="37" t="n"/>
      <c r="M40" s="37" t="n"/>
      <c r="N40" s="37" t="inlineStr">
        <is>
          <t>[T4 | Phase 4 | Claude (pending env)] Playwright/authenticated-API against running env. awaiting running staging URL + test accounts</t>
        </is>
      </c>
    </row>
    <row r="41" ht="53.7" customHeight="1" s="29">
      <c r="A41" s="36" t="inlineStr">
        <is>
          <t>MX-EDGE-0039</t>
        </is>
      </c>
      <c r="B41" s="53" t="inlineStr">
        <is>
          <t>P0</t>
        </is>
      </c>
      <c r="C41" s="36" t="inlineStr">
        <is>
          <t>Backend/Edge Fn</t>
        </is>
      </c>
      <c r="D41" s="36" t="inlineStr">
        <is>
          <t>verify-question-bank — Auth boundary</t>
        </is>
      </c>
      <c r="E41" s="36" t="inlineStr">
        <is>
          <t>Confirms the 'Auth boundary' property of the 'verify-question-bank' Edge Function. With ~90 functions across two hosts, observability and auth on EACH is what makes incidents debuggable and safe; the 17-day silent-cron outage happened because a function failed unseen.</t>
        </is>
      </c>
      <c r="F41" s="36" t="inlineStr">
        <is>
          <t>Ability to invoke the function (API client) and read its logs on the serving host.</t>
        </is>
      </c>
      <c r="G41" s="36" t="inlineStr">
        <is>
          <t>1) Invoke it without a valid session / with the wrong role (where the function is not deliberately public). (function: verify-question-bank).</t>
        </is>
      </c>
      <c r="H41" s="36" t="inlineStr">
        <is>
          <t>Rejects unauthorised callers with a structured error (or is deliberately public with an internal auth check).</t>
        </is>
      </c>
      <c r="I41" s="36" t="inlineStr">
        <is>
          <t>Response + log excerpt for verify-question-bank — Auth boundary</t>
        </is>
      </c>
      <c r="J41" s="41" t="inlineStr">
        <is>
          <t>NOT RUN</t>
        </is>
      </c>
      <c r="K41" s="36" t="inlineStr">
        <is>
          <t>Claude (pending env)</t>
        </is>
      </c>
      <c r="L41" s="36" t="n"/>
      <c r="M41" s="36" t="n"/>
      <c r="N41" s="36" t="inlineStr">
        <is>
          <t>[T4 | Phase 4 | Claude (pending env)] Playwright/authenticated-API against running env. awaiting running staging URL + test accounts</t>
        </is>
      </c>
    </row>
    <row r="42" ht="53.7" customHeight="1" s="29">
      <c r="A42" s="37" t="inlineStr">
        <is>
          <t>MX-EDGE-0040</t>
        </is>
      </c>
      <c r="B42" s="54" t="inlineStr">
        <is>
          <t>P1</t>
        </is>
      </c>
      <c r="C42" s="37" t="inlineStr">
        <is>
          <t>Backend/Edge Fn</t>
        </is>
      </c>
      <c r="D42" s="37" t="inlineStr">
        <is>
          <t>verify-question-bank — Failure path is graceful</t>
        </is>
      </c>
      <c r="E42" s="37" t="inlineStr">
        <is>
          <t>Confirms the 'Failure path is graceful' property of the 'verify-question-bank' Edge Function. With ~90 functions across two hosts, observability and auth on EACH is what makes incidents debuggable and safe; the 17-day silent-cron outage happened because a function failed unseen.</t>
        </is>
      </c>
      <c r="F42" s="37" t="inlineStr">
        <is>
          <t>Ability to invoke the function (API client) and read its logs on the serving host.</t>
        </is>
      </c>
      <c r="G42" s="37" t="inlineStr">
        <is>
          <t>1) Force its downstream dependency to fail (bad input or simulated dependency error) and observe. (function: verify-question-bank).</t>
        </is>
      </c>
      <c r="H42" s="37" t="inlineStr">
        <is>
          <t>Fails gracefully with a structured error and a failure log; no crash, no partial write, no silent success.</t>
        </is>
      </c>
      <c r="I42" s="37" t="inlineStr">
        <is>
          <t>Response + log excerpt for verify-question-bank — Failure path is graceful</t>
        </is>
      </c>
      <c r="J42" s="43" t="inlineStr">
        <is>
          <t>NOT RUN</t>
        </is>
      </c>
      <c r="K42" s="37" t="inlineStr">
        <is>
          <t>Claude (pending env)</t>
        </is>
      </c>
      <c r="L42" s="37" t="n"/>
      <c r="M42" s="37" t="n"/>
      <c r="N42" s="37" t="inlineStr">
        <is>
          <t>[T4 | Phase 4 | Claude (pending env)] Playwright/authenticated-API against running env. awaiting running staging URL + test accounts</t>
        </is>
      </c>
    </row>
    <row r="43" ht="53.7" customHeight="1" s="29">
      <c r="A43" s="36" t="inlineStr">
        <is>
          <t>MX-EDGE-0041</t>
        </is>
      </c>
      <c r="B43" s="54" t="inlineStr">
        <is>
          <t>P1</t>
        </is>
      </c>
      <c r="C43" s="36" t="inlineStr">
        <is>
          <t>Backend/Edge Fn</t>
        </is>
      </c>
      <c r="D43" s="36" t="inlineStr">
        <is>
          <t>ingest-orchestrator — Happy-path smoke</t>
        </is>
      </c>
      <c r="E43" s="36" t="inlineStr">
        <is>
          <t>Confirms the 'Happy-path smoke' property of the 'ingest-orchestrator' Edge Function. With ~90 functions across two hosts, observability and auth on EACH is what makes incidents debuggable and safe; the 17-day silent-cron outage happened because a function failed unseen.</t>
        </is>
      </c>
      <c r="F43" s="36" t="inlineStr">
        <is>
          <t>Ability to invoke the function (API client) and read its logs on the serving host.</t>
        </is>
      </c>
      <c r="G43" s="36" t="inlineStr">
        <is>
          <t>1) Invoke the function with a valid request and confirm a correct 2xx response and expected side effect. (function: ingest-orchestrator).</t>
        </is>
      </c>
      <c r="H43" s="36" t="inlineStr">
        <is>
          <t>Returns success; performs its intended effect; no error.</t>
        </is>
      </c>
      <c r="I43" s="36" t="inlineStr">
        <is>
          <t>Response + log excerpt for ingest-orchestrator — Happy-path smoke</t>
        </is>
      </c>
      <c r="J43" s="41" t="inlineStr">
        <is>
          <t>NOT RUN</t>
        </is>
      </c>
      <c r="K43" s="36" t="inlineStr">
        <is>
          <t>Claude (pending env)</t>
        </is>
      </c>
      <c r="L43" s="36" t="n"/>
      <c r="M43" s="36" t="n"/>
      <c r="N43" s="36" t="inlineStr">
        <is>
          <t>[T4 | Phase 4 | Claude (pending env)] Playwright/authenticated-API against running env. awaiting running staging URL + test accounts</t>
        </is>
      </c>
    </row>
    <row r="44" ht="53.7" customHeight="1" s="29">
      <c r="A44" s="37" t="inlineStr">
        <is>
          <t>MX-EDGE-0042</t>
        </is>
      </c>
      <c r="B44" s="54" t="inlineStr">
        <is>
          <t>P1</t>
        </is>
      </c>
      <c r="C44" s="37" t="inlineStr">
        <is>
          <t>Backend/Edge Fn</t>
        </is>
      </c>
      <c r="D44" s="37" t="inlineStr">
        <is>
          <t>ingest-orchestrator — Structured start/success/failure logs + correlation ID</t>
        </is>
      </c>
      <c r="E44" s="37" t="inlineStr">
        <is>
          <t>Confirms the 'Structured start/success/failure logs + correlation ID' property of the 'ingest-orchestrator' Edge Function. With ~90 functions across two hosts, observability and auth on EACH is what makes incidents debuggable and safe; the 17-day silent-cron outage happened because a function failed unseen.</t>
        </is>
      </c>
      <c r="F44" s="37" t="inlineStr">
        <is>
          <t>Ability to invoke the function (API client) and read its logs on the serving host.</t>
        </is>
      </c>
      <c r="G44" s="37" t="inlineStr">
        <is>
          <t>1) Invoke it and inspect logs; confirm a start log, a terminal (success/failure) log, and a correlation ID that ties them together, plus a host tag. (function: ingest-orchestrator).</t>
        </is>
      </c>
      <c r="H44" s="37" t="inlineStr">
        <is>
          <t>Start + terminal logs present, sharing a correlation ID and host tag.</t>
        </is>
      </c>
      <c r="I44" s="37" t="inlineStr">
        <is>
          <t>Response + log excerpt for ingest-orchestrator — Structured start/success/failure logs + correlation ID</t>
        </is>
      </c>
      <c r="J44" s="43" t="inlineStr">
        <is>
          <t>NOT RUN</t>
        </is>
      </c>
      <c r="K44" s="37" t="inlineStr">
        <is>
          <t>Claude (pending env)</t>
        </is>
      </c>
      <c r="L44" s="37" t="n"/>
      <c r="M44" s="37" t="n"/>
      <c r="N44" s="37" t="inlineStr">
        <is>
          <t>[T4 | Phase 4 | Claude (pending env)] Playwright/authenticated-API against running env. awaiting running staging URL + test accounts</t>
        </is>
      </c>
    </row>
    <row r="45" ht="53.7" customHeight="1" s="29">
      <c r="A45" s="36" t="inlineStr">
        <is>
          <t>MX-EDGE-0043</t>
        </is>
      </c>
      <c r="B45" s="53" t="inlineStr">
        <is>
          <t>P0</t>
        </is>
      </c>
      <c r="C45" s="36" t="inlineStr">
        <is>
          <t>Backend/Edge Fn</t>
        </is>
      </c>
      <c r="D45" s="36" t="inlineStr">
        <is>
          <t>ingest-orchestrator — Auth boundary</t>
        </is>
      </c>
      <c r="E45" s="36" t="inlineStr">
        <is>
          <t>Confirms the 'Auth boundary' property of the 'ingest-orchestrator' Edge Function. With ~90 functions across two hosts, observability and auth on EACH is what makes incidents debuggable and safe; the 17-day silent-cron outage happened because a function failed unseen.</t>
        </is>
      </c>
      <c r="F45" s="36" t="inlineStr">
        <is>
          <t>Ability to invoke the function (API client) and read its logs on the serving host.</t>
        </is>
      </c>
      <c r="G45" s="36" t="inlineStr">
        <is>
          <t>1) Invoke it without a valid session / with the wrong role (where the function is not deliberately public). (function: ingest-orchestrator).</t>
        </is>
      </c>
      <c r="H45" s="36" t="inlineStr">
        <is>
          <t>Rejects unauthorised callers with a structured error (or is deliberately public with an internal auth check).</t>
        </is>
      </c>
      <c r="I45" s="36" t="inlineStr">
        <is>
          <t>Response + log excerpt for ingest-orchestrator — Auth boundary</t>
        </is>
      </c>
      <c r="J45" s="41" t="inlineStr">
        <is>
          <t>NOT RUN</t>
        </is>
      </c>
      <c r="K45" s="36" t="inlineStr">
        <is>
          <t>Claude (pending env)</t>
        </is>
      </c>
      <c r="L45" s="36" t="n"/>
      <c r="M45" s="36" t="n"/>
      <c r="N45" s="36" t="inlineStr">
        <is>
          <t>[T4 | Phase 4 | Claude (pending env)] Playwright/authenticated-API against running env. awaiting running staging URL + test accounts</t>
        </is>
      </c>
    </row>
    <row r="46" ht="53.7" customHeight="1" s="29">
      <c r="A46" s="37" t="inlineStr">
        <is>
          <t>MX-EDGE-0044</t>
        </is>
      </c>
      <c r="B46" s="54" t="inlineStr">
        <is>
          <t>P1</t>
        </is>
      </c>
      <c r="C46" s="37" t="inlineStr">
        <is>
          <t>Backend/Edge Fn</t>
        </is>
      </c>
      <c r="D46" s="37" t="inlineStr">
        <is>
          <t>ingest-orchestrator — Failure path is graceful</t>
        </is>
      </c>
      <c r="E46" s="37" t="inlineStr">
        <is>
          <t>Confirms the 'Failure path is graceful' property of the 'ingest-orchestrator' Edge Function. With ~90 functions across two hosts, observability and auth on EACH is what makes incidents debuggable and safe; the 17-day silent-cron outage happened because a function failed unseen.</t>
        </is>
      </c>
      <c r="F46" s="37" t="inlineStr">
        <is>
          <t>Ability to invoke the function (API client) and read its logs on the serving host.</t>
        </is>
      </c>
      <c r="G46" s="37" t="inlineStr">
        <is>
          <t>1) Force its downstream dependency to fail (bad input or simulated dependency error) and observe. (function: ingest-orchestrator).</t>
        </is>
      </c>
      <c r="H46" s="37" t="inlineStr">
        <is>
          <t>Fails gracefully with a structured error and a failure log; no crash, no partial write, no silent success.</t>
        </is>
      </c>
      <c r="I46" s="37" t="inlineStr">
        <is>
          <t>Response + log excerpt for ingest-orchestrator — Failure path is graceful</t>
        </is>
      </c>
      <c r="J46" s="43" t="inlineStr">
        <is>
          <t>NOT RUN</t>
        </is>
      </c>
      <c r="K46" s="37" t="inlineStr">
        <is>
          <t>Claude (pending env)</t>
        </is>
      </c>
      <c r="L46" s="37" t="n"/>
      <c r="M46" s="37" t="n"/>
      <c r="N46" s="37" t="inlineStr">
        <is>
          <t>[T4 | Phase 4 | Claude (pending env)] Playwright/authenticated-API against running env. awaiting running staging URL + test accounts</t>
        </is>
      </c>
    </row>
    <row r="47" ht="53.7" customHeight="1" s="29">
      <c r="A47" s="36" t="inlineStr">
        <is>
          <t>MX-EDGE-0045</t>
        </is>
      </c>
      <c r="B47" s="54" t="inlineStr">
        <is>
          <t>P1</t>
        </is>
      </c>
      <c r="C47" s="36" t="inlineStr">
        <is>
          <t>Backend/Edge Fn</t>
        </is>
      </c>
      <c r="D47" s="36" t="inlineStr">
        <is>
          <t>projector-runner — Happy-path smoke</t>
        </is>
      </c>
      <c r="E47" s="36" t="inlineStr">
        <is>
          <t>Confirms the 'Happy-path smoke' property of the 'projector-runner' Edge Function. With ~90 functions across two hosts, observability and auth on EACH is what makes incidents debuggable and safe; the 17-day silent-cron outage happened because a function failed unseen.</t>
        </is>
      </c>
      <c r="F47" s="36" t="inlineStr">
        <is>
          <t>Ability to invoke the function (API client) and read its logs on the serving host.</t>
        </is>
      </c>
      <c r="G47" s="36" t="inlineStr">
        <is>
          <t>1) Invoke the function with a valid request and confirm a correct 2xx response and expected side effect. (function: projector-runner).</t>
        </is>
      </c>
      <c r="H47" s="36" t="inlineStr">
        <is>
          <t>Returns success; performs its intended effect; no error.</t>
        </is>
      </c>
      <c r="I47" s="36" t="inlineStr">
        <is>
          <t>Response + log excerpt for projector-runner — Happy-path smoke</t>
        </is>
      </c>
      <c r="J47" s="41" t="inlineStr">
        <is>
          <t>NOT RUN</t>
        </is>
      </c>
      <c r="K47" s="36" t="inlineStr">
        <is>
          <t>Claude (pending env)</t>
        </is>
      </c>
      <c r="L47" s="36" t="n"/>
      <c r="M47" s="36" t="n"/>
      <c r="N47" s="36" t="inlineStr">
        <is>
          <t>[T4 | Phase 4 | Claude (pending env)] Playwright/authenticated-API against running env. awaiting running staging URL + test accounts</t>
        </is>
      </c>
    </row>
    <row r="48" ht="53.7" customHeight="1" s="29">
      <c r="A48" s="37" t="inlineStr">
        <is>
          <t>MX-EDGE-0046</t>
        </is>
      </c>
      <c r="B48" s="54" t="inlineStr">
        <is>
          <t>P1</t>
        </is>
      </c>
      <c r="C48" s="37" t="inlineStr">
        <is>
          <t>Backend/Edge Fn</t>
        </is>
      </c>
      <c r="D48" s="37" t="inlineStr">
        <is>
          <t>projector-runner — Structured start/success/failure logs + correlation ID</t>
        </is>
      </c>
      <c r="E48" s="37" t="inlineStr">
        <is>
          <t>Confirms the 'Structured start/success/failure logs + correlation ID' property of the 'projector-runner' Edge Function. With ~90 functions across two hosts, observability and auth on EACH is what makes incidents debuggable and safe; the 17-day silent-cron outage happened because a function failed unseen.</t>
        </is>
      </c>
      <c r="F48" s="37" t="inlineStr">
        <is>
          <t>Ability to invoke the function (API client) and read its logs on the serving host.</t>
        </is>
      </c>
      <c r="G48" s="37" t="inlineStr">
        <is>
          <t>1) Invoke it and inspect logs; confirm a start log, a terminal (success/failure) log, and a correlation ID that ties them together, plus a host tag. (function: projector-runner).</t>
        </is>
      </c>
      <c r="H48" s="37" t="inlineStr">
        <is>
          <t>Start + terminal logs present, sharing a correlation ID and host tag.</t>
        </is>
      </c>
      <c r="I48" s="37" t="inlineStr">
        <is>
          <t>Response + log excerpt for projector-runner — Structured start/success/failure logs + correlation ID</t>
        </is>
      </c>
      <c r="J48" s="43" t="inlineStr">
        <is>
          <t>NOT RUN</t>
        </is>
      </c>
      <c r="K48" s="37" t="inlineStr">
        <is>
          <t>Claude (pending env)</t>
        </is>
      </c>
      <c r="L48" s="37" t="n"/>
      <c r="M48" s="37" t="n"/>
      <c r="N48" s="37" t="inlineStr">
        <is>
          <t>[T4 | Phase 4 | Claude (pending env)] Playwright/authenticated-API against running env. awaiting running staging URL + test accounts</t>
        </is>
      </c>
    </row>
    <row r="49" ht="53.7" customHeight="1" s="29">
      <c r="A49" s="36" t="inlineStr">
        <is>
          <t>MX-EDGE-0047</t>
        </is>
      </c>
      <c r="B49" s="53" t="inlineStr">
        <is>
          <t>P0</t>
        </is>
      </c>
      <c r="C49" s="36" t="inlineStr">
        <is>
          <t>Backend/Edge Fn</t>
        </is>
      </c>
      <c r="D49" s="36" t="inlineStr">
        <is>
          <t>projector-runner — Auth boundary</t>
        </is>
      </c>
      <c r="E49" s="36" t="inlineStr">
        <is>
          <t>Confirms the 'Auth boundary' property of the 'projector-runner' Edge Function. With ~90 functions across two hosts, observability and auth on EACH is what makes incidents debuggable and safe; the 17-day silent-cron outage happened because a function failed unseen.</t>
        </is>
      </c>
      <c r="F49" s="36" t="inlineStr">
        <is>
          <t>Ability to invoke the function (API client) and read its logs on the serving host.</t>
        </is>
      </c>
      <c r="G49" s="36" t="inlineStr">
        <is>
          <t>1) Invoke it without a valid session / with the wrong role (where the function is not deliberately public). (function: projector-runner).</t>
        </is>
      </c>
      <c r="H49" s="36" t="inlineStr">
        <is>
          <t>Rejects unauthorised callers with a structured error (or is deliberately public with an internal auth check).</t>
        </is>
      </c>
      <c r="I49" s="36" t="inlineStr">
        <is>
          <t>Response + log excerpt for projector-runner — Auth boundary</t>
        </is>
      </c>
      <c r="J49" s="41" t="inlineStr">
        <is>
          <t>NOT RUN</t>
        </is>
      </c>
      <c r="K49" s="36" t="inlineStr">
        <is>
          <t>Claude (pending env)</t>
        </is>
      </c>
      <c r="L49" s="36" t="n"/>
      <c r="M49" s="36" t="n"/>
      <c r="N49" s="36" t="inlineStr">
        <is>
          <t>[T4 | Phase 4 | Claude (pending env)] Playwright/authenticated-API against running env. awaiting running staging URL + test accounts</t>
        </is>
      </c>
    </row>
    <row r="50" ht="53.7" customHeight="1" s="29">
      <c r="A50" s="37" t="inlineStr">
        <is>
          <t>MX-EDGE-0048</t>
        </is>
      </c>
      <c r="B50" s="54" t="inlineStr">
        <is>
          <t>P1</t>
        </is>
      </c>
      <c r="C50" s="37" t="inlineStr">
        <is>
          <t>Backend/Edge Fn</t>
        </is>
      </c>
      <c r="D50" s="37" t="inlineStr">
        <is>
          <t>projector-runner — Failure path is graceful</t>
        </is>
      </c>
      <c r="E50" s="37" t="inlineStr">
        <is>
          <t>Confirms the 'Failure path is graceful' property of the 'projector-runner' Edge Function. With ~90 functions across two hosts, observability and auth on EACH is what makes incidents debuggable and safe; the 17-day silent-cron outage happened because a function failed unseen.</t>
        </is>
      </c>
      <c r="F50" s="37" t="inlineStr">
        <is>
          <t>Ability to invoke the function (API client) and read its logs on the serving host.</t>
        </is>
      </c>
      <c r="G50" s="37" t="inlineStr">
        <is>
          <t>1) Force its downstream dependency to fail (bad input or simulated dependency error) and observe. (function: projector-runner).</t>
        </is>
      </c>
      <c r="H50" s="37" t="inlineStr">
        <is>
          <t>Fails gracefully with a structured error and a failure log; no crash, no partial write, no silent success.</t>
        </is>
      </c>
      <c r="I50" s="37" t="inlineStr">
        <is>
          <t>Response + log excerpt for projector-runner — Failure path is graceful</t>
        </is>
      </c>
      <c r="J50" s="43" t="inlineStr">
        <is>
          <t>NOT RUN</t>
        </is>
      </c>
      <c r="K50" s="37" t="inlineStr">
        <is>
          <t>Claude (pending env)</t>
        </is>
      </c>
      <c r="L50" s="37" t="n"/>
      <c r="M50" s="37" t="n"/>
      <c r="N50" s="37" t="inlineStr">
        <is>
          <t>[T4 | Phase 4 | Claude (pending env)] Playwright/authenticated-API against running env. awaiting running staging URL + test accounts</t>
        </is>
      </c>
    </row>
    <row r="51" ht="53.7" customHeight="1" s="29">
      <c r="A51" s="36" t="inlineStr">
        <is>
          <t>MX-EDGE-0049</t>
        </is>
      </c>
      <c r="B51" s="54" t="inlineStr">
        <is>
          <t>P1</t>
        </is>
      </c>
      <c r="C51" s="36" t="inlineStr">
        <is>
          <t>Backend/Edge Fn</t>
        </is>
      </c>
      <c r="D51" s="36" t="inlineStr">
        <is>
          <t>projector-health-check — Happy-path smoke</t>
        </is>
      </c>
      <c r="E51" s="36" t="inlineStr">
        <is>
          <t>Confirms the 'Happy-path smoke' property of the 'projector-health-check' Edge Function. With ~90 functions across two hosts, observability and auth on EACH is what makes incidents debuggable and safe; the 17-day silent-cron outage happened because a function failed unseen.</t>
        </is>
      </c>
      <c r="F51" s="36" t="inlineStr">
        <is>
          <t>Ability to invoke the function (API client) and read its logs on the serving host.</t>
        </is>
      </c>
      <c r="G51" s="36" t="inlineStr">
        <is>
          <t>1) Invoke the function with a valid request and confirm a correct 2xx response and expected side effect. (function: projector-health-check).</t>
        </is>
      </c>
      <c r="H51" s="36" t="inlineStr">
        <is>
          <t>Returns success; performs its intended effect; no error.</t>
        </is>
      </c>
      <c r="I51" s="36" t="inlineStr">
        <is>
          <t>Response + log excerpt for projector-health-check — Happy-path smoke</t>
        </is>
      </c>
      <c r="J51" s="41" t="inlineStr">
        <is>
          <t>NOT RUN</t>
        </is>
      </c>
      <c r="K51" s="36" t="inlineStr">
        <is>
          <t>Claude (pending env)</t>
        </is>
      </c>
      <c r="L51" s="36" t="n"/>
      <c r="M51" s="36" t="n"/>
      <c r="N51" s="36" t="inlineStr">
        <is>
          <t>[T4 | Phase 4 | Claude (pending env)] Playwright/authenticated-API against running env. awaiting running staging URL + test accounts</t>
        </is>
      </c>
    </row>
    <row r="52" ht="53.7" customHeight="1" s="29">
      <c r="A52" s="37" t="inlineStr">
        <is>
          <t>MX-EDGE-0050</t>
        </is>
      </c>
      <c r="B52" s="54" t="inlineStr">
        <is>
          <t>P1</t>
        </is>
      </c>
      <c r="C52" s="37" t="inlineStr">
        <is>
          <t>Backend/Edge Fn</t>
        </is>
      </c>
      <c r="D52" s="37" t="inlineStr">
        <is>
          <t>projector-health-check — Structured start/success/failure logs + correlation ID</t>
        </is>
      </c>
      <c r="E52" s="37" t="inlineStr">
        <is>
          <t>Confirms the 'Structured start/success/failure logs + correlation ID' property of the 'projector-health-check' Edge Function. With ~90 functions across two hosts, observability and auth on EACH is what makes incidents debuggable and safe; the 17-day silent-cron outage happened because a function failed unseen.</t>
        </is>
      </c>
      <c r="F52" s="37" t="inlineStr">
        <is>
          <t>Ability to invoke the function (API client) and read its logs on the serving host.</t>
        </is>
      </c>
      <c r="G52" s="37" t="inlineStr">
        <is>
          <t>1) Invoke it and inspect logs; confirm a start log, a terminal (success/failure) log, and a correlation ID that ties them together, plus a host tag. (function: projector-health-check).</t>
        </is>
      </c>
      <c r="H52" s="37" t="inlineStr">
        <is>
          <t>Start + terminal logs present, sharing a correlation ID and host tag.</t>
        </is>
      </c>
      <c r="I52" s="37" t="inlineStr">
        <is>
          <t>Response + log excerpt for projector-health-check — Structured start/success/failure logs + correlation ID</t>
        </is>
      </c>
      <c r="J52" s="43" t="inlineStr">
        <is>
          <t>NOT RUN</t>
        </is>
      </c>
      <c r="K52" s="37" t="inlineStr">
        <is>
          <t>Claude (pending env)</t>
        </is>
      </c>
      <c r="L52" s="37" t="n"/>
      <c r="M52" s="37" t="n"/>
      <c r="N52" s="37" t="inlineStr">
        <is>
          <t>[T4 | Phase 4 | Claude (pending env)] Playwright/authenticated-API against running env. awaiting running staging URL + test accounts</t>
        </is>
      </c>
    </row>
    <row r="53" ht="53.7" customHeight="1" s="29">
      <c r="A53" s="36" t="inlineStr">
        <is>
          <t>MX-EDGE-0051</t>
        </is>
      </c>
      <c r="B53" s="53" t="inlineStr">
        <is>
          <t>P0</t>
        </is>
      </c>
      <c r="C53" s="36" t="inlineStr">
        <is>
          <t>Backend/Edge Fn</t>
        </is>
      </c>
      <c r="D53" s="36" t="inlineStr">
        <is>
          <t>projector-health-check — Auth boundary</t>
        </is>
      </c>
      <c r="E53" s="36" t="inlineStr">
        <is>
          <t>Confirms the 'Auth boundary' property of the 'projector-health-check' Edge Function. With ~90 functions across two hosts, observability and auth on EACH is what makes incidents debuggable and safe; the 17-day silent-cron outage happened because a function failed unseen.</t>
        </is>
      </c>
      <c r="F53" s="36" t="inlineStr">
        <is>
          <t>Ability to invoke the function (API client) and read its logs on the serving host.</t>
        </is>
      </c>
      <c r="G53" s="36" t="inlineStr">
        <is>
          <t>1) Invoke it without a valid session / with the wrong role (where the function is not deliberately public). (function: projector-health-check).</t>
        </is>
      </c>
      <c r="H53" s="36" t="inlineStr">
        <is>
          <t>Rejects unauthorised callers with a structured error (or is deliberately public with an internal auth check).</t>
        </is>
      </c>
      <c r="I53" s="36" t="inlineStr">
        <is>
          <t>Response + log excerpt for projector-health-check — Auth boundary</t>
        </is>
      </c>
      <c r="J53" s="41" t="inlineStr">
        <is>
          <t>NOT RUN</t>
        </is>
      </c>
      <c r="K53" s="36" t="inlineStr">
        <is>
          <t>Claude (pending env)</t>
        </is>
      </c>
      <c r="L53" s="36" t="n"/>
      <c r="M53" s="36" t="n"/>
      <c r="N53" s="36" t="inlineStr">
        <is>
          <t>[T4 | Phase 4 | Claude (pending env)] Playwright/authenticated-API against running env. awaiting running staging URL + test accounts</t>
        </is>
      </c>
    </row>
    <row r="54" ht="53.7" customHeight="1" s="29">
      <c r="A54" s="37" t="inlineStr">
        <is>
          <t>MX-EDGE-0052</t>
        </is>
      </c>
      <c r="B54" s="54" t="inlineStr">
        <is>
          <t>P1</t>
        </is>
      </c>
      <c r="C54" s="37" t="inlineStr">
        <is>
          <t>Backend/Edge Fn</t>
        </is>
      </c>
      <c r="D54" s="37" t="inlineStr">
        <is>
          <t>projector-health-check — Failure path is graceful</t>
        </is>
      </c>
      <c r="E54" s="37" t="inlineStr">
        <is>
          <t>Confirms the 'Failure path is graceful' property of the 'projector-health-check' Edge Function. With ~90 functions across two hosts, observability and auth on EACH is what makes incidents debuggable and safe; the 17-day silent-cron outage happened because a function failed unseen.</t>
        </is>
      </c>
      <c r="F54" s="37" t="inlineStr">
        <is>
          <t>Ability to invoke the function (API client) and read its logs on the serving host.</t>
        </is>
      </c>
      <c r="G54" s="37" t="inlineStr">
        <is>
          <t>1) Force its downstream dependency to fail (bad input or simulated dependency error) and observe. (function: projector-health-check).</t>
        </is>
      </c>
      <c r="H54" s="37" t="inlineStr">
        <is>
          <t>Fails gracefully with a structured error and a failure log; no crash, no partial write, no silent success.</t>
        </is>
      </c>
      <c r="I54" s="37" t="inlineStr">
        <is>
          <t>Response + log excerpt for projector-health-check — Failure path is graceful</t>
        </is>
      </c>
      <c r="J54" s="43" t="inlineStr">
        <is>
          <t>NOT RUN</t>
        </is>
      </c>
      <c r="K54" s="37" t="inlineStr">
        <is>
          <t>Claude (pending env)</t>
        </is>
      </c>
      <c r="L54" s="37" t="n"/>
      <c r="M54" s="37" t="n"/>
      <c r="N54" s="37" t="inlineStr">
        <is>
          <t>[T4 | Phase 4 | Claude (pending env)] Playwright/authenticated-API against running env. awaiting running staging URL + test accounts</t>
        </is>
      </c>
    </row>
    <row r="55" ht="53.7" customHeight="1" s="29">
      <c r="A55" s="36" t="inlineStr">
        <is>
          <t>MX-EDGE-0053</t>
        </is>
      </c>
      <c r="B55" s="54" t="inlineStr">
        <is>
          <t>P1</t>
        </is>
      </c>
      <c r="C55" s="36" t="inlineStr">
        <is>
          <t>Backend/Edge Fn</t>
        </is>
      </c>
      <c r="D55" s="36" t="inlineStr">
        <is>
          <t>next-action-resolver — Happy-path smoke</t>
        </is>
      </c>
      <c r="E55" s="36" t="inlineStr">
        <is>
          <t>Confirms the 'Happy-path smoke' property of the 'next-action-resolver' Edge Function. With ~90 functions across two hosts, observability and auth on EACH is what makes incidents debuggable and safe; the 17-day silent-cron outage happened because a function failed unseen.</t>
        </is>
      </c>
      <c r="F55" s="36" t="inlineStr">
        <is>
          <t>Ability to invoke the function (API client) and read its logs on the serving host.</t>
        </is>
      </c>
      <c r="G55" s="36" t="inlineStr">
        <is>
          <t>1) Invoke the function with a valid request and confirm a correct 2xx response and expected side effect. (function: next-action-resolver).</t>
        </is>
      </c>
      <c r="H55" s="36" t="inlineStr">
        <is>
          <t>Returns success; performs its intended effect; no error.</t>
        </is>
      </c>
      <c r="I55" s="36" t="inlineStr">
        <is>
          <t>Response + log excerpt for next-action-resolver — Happy-path smoke</t>
        </is>
      </c>
      <c r="J55" s="41" t="inlineStr">
        <is>
          <t>NOT RUN</t>
        </is>
      </c>
      <c r="K55" s="36" t="inlineStr">
        <is>
          <t>Claude (pending env)</t>
        </is>
      </c>
      <c r="L55" s="36" t="n"/>
      <c r="M55" s="36" t="n"/>
      <c r="N55" s="36" t="inlineStr">
        <is>
          <t>[T4 | Phase 4 | Claude (pending env)] Playwright/authenticated-API against running env. awaiting running staging URL + test accounts</t>
        </is>
      </c>
    </row>
    <row r="56" ht="53.7" customHeight="1" s="29">
      <c r="A56" s="37" t="inlineStr">
        <is>
          <t>MX-EDGE-0054</t>
        </is>
      </c>
      <c r="B56" s="54" t="inlineStr">
        <is>
          <t>P1</t>
        </is>
      </c>
      <c r="C56" s="37" t="inlineStr">
        <is>
          <t>Backend/Edge Fn</t>
        </is>
      </c>
      <c r="D56" s="37" t="inlineStr">
        <is>
          <t>next-action-resolver — Structured start/success/failure logs + correlation ID</t>
        </is>
      </c>
      <c r="E56" s="37" t="inlineStr">
        <is>
          <t>Confirms the 'Structured start/success/failure logs + correlation ID' property of the 'next-action-resolver' Edge Function. With ~90 functions across two hosts, observability and auth on EACH is what makes incidents debuggable and safe; the 17-day silent-cron outage happened because a function failed unseen.</t>
        </is>
      </c>
      <c r="F56" s="37" t="inlineStr">
        <is>
          <t>Ability to invoke the function (API client) and read its logs on the serving host.</t>
        </is>
      </c>
      <c r="G56" s="37" t="inlineStr">
        <is>
          <t>1) Invoke it and inspect logs; confirm a start log, a terminal (success/failure) log, and a correlation ID that ties them together, plus a host tag. (function: next-action-resolver).</t>
        </is>
      </c>
      <c r="H56" s="37" t="inlineStr">
        <is>
          <t>Start + terminal logs present, sharing a correlation ID and host tag.</t>
        </is>
      </c>
      <c r="I56" s="37" t="inlineStr">
        <is>
          <t>Response + log excerpt for next-action-resolver — Structured start/success/failure logs + correlation ID</t>
        </is>
      </c>
      <c r="J56" s="43" t="inlineStr">
        <is>
          <t>NOT RUN</t>
        </is>
      </c>
      <c r="K56" s="37" t="inlineStr">
        <is>
          <t>Claude (pending env)</t>
        </is>
      </c>
      <c r="L56" s="37" t="n"/>
      <c r="M56" s="37" t="n"/>
      <c r="N56" s="37" t="inlineStr">
        <is>
          <t>[T4 | Phase 4 | Claude (pending env)] Playwright/authenticated-API against running env. awaiting running staging URL + test accounts</t>
        </is>
      </c>
    </row>
    <row r="57" ht="53.7" customHeight="1" s="29">
      <c r="A57" s="36" t="inlineStr">
        <is>
          <t>MX-EDGE-0055</t>
        </is>
      </c>
      <c r="B57" s="53" t="inlineStr">
        <is>
          <t>P0</t>
        </is>
      </c>
      <c r="C57" s="36" t="inlineStr">
        <is>
          <t>Backend/Edge Fn</t>
        </is>
      </c>
      <c r="D57" s="36" t="inlineStr">
        <is>
          <t>next-action-resolver — Auth boundary</t>
        </is>
      </c>
      <c r="E57" s="36" t="inlineStr">
        <is>
          <t>Confirms the 'Auth boundary' property of the 'next-action-resolver' Edge Function. With ~90 functions across two hosts, observability and auth on EACH is what makes incidents debuggable and safe; the 17-day silent-cron outage happened because a function failed unseen.</t>
        </is>
      </c>
      <c r="F57" s="36" t="inlineStr">
        <is>
          <t>Ability to invoke the function (API client) and read its logs on the serving host.</t>
        </is>
      </c>
      <c r="G57" s="36" t="inlineStr">
        <is>
          <t>1) Invoke it without a valid session / with the wrong role (where the function is not deliberately public). (function: next-action-resolver).</t>
        </is>
      </c>
      <c r="H57" s="36" t="inlineStr">
        <is>
          <t>Rejects unauthorised callers with a structured error (or is deliberately public with an internal auth check).</t>
        </is>
      </c>
      <c r="I57" s="36" t="inlineStr">
        <is>
          <t>Response + log excerpt for next-action-resolver — Auth boundary</t>
        </is>
      </c>
      <c r="J57" s="41" t="inlineStr">
        <is>
          <t>NOT RUN</t>
        </is>
      </c>
      <c r="K57" s="36" t="inlineStr">
        <is>
          <t>Claude (pending env)</t>
        </is>
      </c>
      <c r="L57" s="36" t="n"/>
      <c r="M57" s="36" t="n"/>
      <c r="N57" s="36" t="inlineStr">
        <is>
          <t>[T4 | Phase 4 | Claude (pending env)] Playwright/authenticated-API against running env. awaiting running staging URL + test accounts</t>
        </is>
      </c>
    </row>
    <row r="58" ht="53.7" customHeight="1" s="29">
      <c r="A58" s="37" t="inlineStr">
        <is>
          <t>MX-EDGE-0056</t>
        </is>
      </c>
      <c r="B58" s="54" t="inlineStr">
        <is>
          <t>P1</t>
        </is>
      </c>
      <c r="C58" s="37" t="inlineStr">
        <is>
          <t>Backend/Edge Fn</t>
        </is>
      </c>
      <c r="D58" s="37" t="inlineStr">
        <is>
          <t>next-action-resolver — Failure path is graceful</t>
        </is>
      </c>
      <c r="E58" s="37" t="inlineStr">
        <is>
          <t>Confirms the 'Failure path is graceful' property of the 'next-action-resolver' Edge Function. With ~90 functions across two hosts, observability and auth on EACH is what makes incidents debuggable and safe; the 17-day silent-cron outage happened because a function failed unseen.</t>
        </is>
      </c>
      <c r="F58" s="37" t="inlineStr">
        <is>
          <t>Ability to invoke the function (API client) and read its logs on the serving host.</t>
        </is>
      </c>
      <c r="G58" s="37" t="inlineStr">
        <is>
          <t>1) Force its downstream dependency to fail (bad input or simulated dependency error) and observe. (function: next-action-resolver).</t>
        </is>
      </c>
      <c r="H58" s="37" t="inlineStr">
        <is>
          <t>Fails gracefully with a structured error and a failure log; no crash, no partial write, no silent success.</t>
        </is>
      </c>
      <c r="I58" s="37" t="inlineStr">
        <is>
          <t>Response + log excerpt for next-action-resolver — Failure path is graceful</t>
        </is>
      </c>
      <c r="J58" s="43" t="inlineStr">
        <is>
          <t>NOT RUN</t>
        </is>
      </c>
      <c r="K58" s="37" t="inlineStr">
        <is>
          <t>Claude (pending env)</t>
        </is>
      </c>
      <c r="L58" s="37" t="n"/>
      <c r="M58" s="37" t="n"/>
      <c r="N58" s="37" t="inlineStr">
        <is>
          <t>[T4 | Phase 4 | Claude (pending env)] Playwright/authenticated-API against running env. awaiting running staging URL + test accounts</t>
        </is>
      </c>
    </row>
    <row r="59" ht="53.7" customHeight="1" s="29">
      <c r="A59" s="36" t="inlineStr">
        <is>
          <t>MX-EDGE-0057</t>
        </is>
      </c>
      <c r="B59" s="54" t="inlineStr">
        <is>
          <t>P1</t>
        </is>
      </c>
      <c r="C59" s="36" t="inlineStr">
        <is>
          <t>Backend/Edge Fn</t>
        </is>
      </c>
      <c r="D59" s="36" t="inlineStr">
        <is>
          <t>diagnostic-runner — Happy-path smoke</t>
        </is>
      </c>
      <c r="E59" s="36" t="inlineStr">
        <is>
          <t>Confirms the 'Happy-path smoke' property of the 'diagnostic-runner' Edge Function. With ~90 functions across two hosts, observability and auth on EACH is what makes incidents debuggable and safe; the 17-day silent-cron outage happened because a function failed unseen.</t>
        </is>
      </c>
      <c r="F59" s="36" t="inlineStr">
        <is>
          <t>Ability to invoke the function (API client) and read its logs on the serving host.</t>
        </is>
      </c>
      <c r="G59" s="36" t="inlineStr">
        <is>
          <t>1) Invoke the function with a valid request and confirm a correct 2xx response and expected side effect. (function: diagnostic-runner).</t>
        </is>
      </c>
      <c r="H59" s="36" t="inlineStr">
        <is>
          <t>Returns success; performs its intended effect; no error.</t>
        </is>
      </c>
      <c r="I59" s="36" t="inlineStr">
        <is>
          <t>Response + log excerpt for diagnostic-runner — Happy-path smoke</t>
        </is>
      </c>
      <c r="J59" s="41" t="inlineStr">
        <is>
          <t>NOT RUN</t>
        </is>
      </c>
      <c r="K59" s="36" t="inlineStr">
        <is>
          <t>Claude (pending env)</t>
        </is>
      </c>
      <c r="L59" s="36" t="n"/>
      <c r="M59" s="36" t="n"/>
      <c r="N59" s="36" t="inlineStr">
        <is>
          <t>[T4 | Phase 4 | Claude (pending env)] Playwright/authenticated-API against running env. awaiting running staging URL + test accounts</t>
        </is>
      </c>
    </row>
    <row r="60" ht="53.7" customHeight="1" s="29">
      <c r="A60" s="37" t="inlineStr">
        <is>
          <t>MX-EDGE-0058</t>
        </is>
      </c>
      <c r="B60" s="54" t="inlineStr">
        <is>
          <t>P1</t>
        </is>
      </c>
      <c r="C60" s="37" t="inlineStr">
        <is>
          <t>Backend/Edge Fn</t>
        </is>
      </c>
      <c r="D60" s="37" t="inlineStr">
        <is>
          <t>diagnostic-runner — Structured start/success/failure logs + correlation ID</t>
        </is>
      </c>
      <c r="E60" s="37" t="inlineStr">
        <is>
          <t>Confirms the 'Structured start/success/failure logs + correlation ID' property of the 'diagnostic-runner' Edge Function. With ~90 functions across two hosts, observability and auth on EACH is what makes incidents debuggable and safe; the 17-day silent-cron outage happened because a function failed unseen.</t>
        </is>
      </c>
      <c r="F60" s="37" t="inlineStr">
        <is>
          <t>Ability to invoke the function (API client) and read its logs on the serving host.</t>
        </is>
      </c>
      <c r="G60" s="37" t="inlineStr">
        <is>
          <t>1) Invoke it and inspect logs; confirm a start log, a terminal (success/failure) log, and a correlation ID that ties them together, plus a host tag. (function: diagnostic-runner).</t>
        </is>
      </c>
      <c r="H60" s="37" t="inlineStr">
        <is>
          <t>Start + terminal logs present, sharing a correlation ID and host tag.</t>
        </is>
      </c>
      <c r="I60" s="37" t="inlineStr">
        <is>
          <t>Response + log excerpt for diagnostic-runner — Structured start/success/failure logs + correlation ID</t>
        </is>
      </c>
      <c r="J60" s="43" t="inlineStr">
        <is>
          <t>NOT RUN</t>
        </is>
      </c>
      <c r="K60" s="37" t="inlineStr">
        <is>
          <t>Claude (pending env)</t>
        </is>
      </c>
      <c r="L60" s="37" t="n"/>
      <c r="M60" s="37" t="n"/>
      <c r="N60" s="37" t="inlineStr">
        <is>
          <t>[T4 | Phase 4 | Claude (pending env)] Playwright/authenticated-API against running env. awaiting running staging URL + test accounts</t>
        </is>
      </c>
    </row>
    <row r="61" ht="53.7" customHeight="1" s="29">
      <c r="A61" s="36" t="inlineStr">
        <is>
          <t>MX-EDGE-0059</t>
        </is>
      </c>
      <c r="B61" s="53" t="inlineStr">
        <is>
          <t>P0</t>
        </is>
      </c>
      <c r="C61" s="36" t="inlineStr">
        <is>
          <t>Backend/Edge Fn</t>
        </is>
      </c>
      <c r="D61" s="36" t="inlineStr">
        <is>
          <t>diagnostic-runner — Auth boundary</t>
        </is>
      </c>
      <c r="E61" s="36" t="inlineStr">
        <is>
          <t>Confirms the 'Auth boundary' property of the 'diagnostic-runner' Edge Function. With ~90 functions across two hosts, observability and auth on EACH is what makes incidents debuggable and safe; the 17-day silent-cron outage happened because a function failed unseen.</t>
        </is>
      </c>
      <c r="F61" s="36" t="inlineStr">
        <is>
          <t>Ability to invoke the function (API client) and read its logs on the serving host.</t>
        </is>
      </c>
      <c r="G61" s="36" t="inlineStr">
        <is>
          <t>1) Invoke it without a valid session / with the wrong role (where the function is not deliberately public). (function: diagnostic-runner).</t>
        </is>
      </c>
      <c r="H61" s="36" t="inlineStr">
        <is>
          <t>Rejects unauthorised callers with a structured error (or is deliberately public with an internal auth check).</t>
        </is>
      </c>
      <c r="I61" s="36" t="inlineStr">
        <is>
          <t>Response + log excerpt for diagnostic-runner — Auth boundary</t>
        </is>
      </c>
      <c r="J61" s="41" t="inlineStr">
        <is>
          <t>NOT RUN</t>
        </is>
      </c>
      <c r="K61" s="36" t="inlineStr">
        <is>
          <t>Claude (pending env)</t>
        </is>
      </c>
      <c r="L61" s="36" t="n"/>
      <c r="M61" s="36" t="n"/>
      <c r="N61" s="36" t="inlineStr">
        <is>
          <t>[T4 | Phase 4 | Claude (pending env)] Playwright/authenticated-API against running env. awaiting running staging URL + test accounts</t>
        </is>
      </c>
    </row>
    <row r="62" ht="53.7" customHeight="1" s="29">
      <c r="A62" s="37" t="inlineStr">
        <is>
          <t>MX-EDGE-0060</t>
        </is>
      </c>
      <c r="B62" s="54" t="inlineStr">
        <is>
          <t>P1</t>
        </is>
      </c>
      <c r="C62" s="37" t="inlineStr">
        <is>
          <t>Backend/Edge Fn</t>
        </is>
      </c>
      <c r="D62" s="37" t="inlineStr">
        <is>
          <t>diagnostic-runner — Failure path is graceful</t>
        </is>
      </c>
      <c r="E62" s="37" t="inlineStr">
        <is>
          <t>Confirms the 'Failure path is graceful' property of the 'diagnostic-runner' Edge Function. With ~90 functions across two hosts, observability and auth on EACH is what makes incidents debuggable and safe; the 17-day silent-cron outage happened because a function failed unseen.</t>
        </is>
      </c>
      <c r="F62" s="37" t="inlineStr">
        <is>
          <t>Ability to invoke the function (API client) and read its logs on the serving host.</t>
        </is>
      </c>
      <c r="G62" s="37" t="inlineStr">
        <is>
          <t>1) Force its downstream dependency to fail (bad input or simulated dependency error) and observe. (function: diagnostic-runner).</t>
        </is>
      </c>
      <c r="H62" s="37" t="inlineStr">
        <is>
          <t>Fails gracefully with a structured error and a failure log; no crash, no partial write, no silent success.</t>
        </is>
      </c>
      <c r="I62" s="37" t="inlineStr">
        <is>
          <t>Response + log excerpt for diagnostic-runner — Failure path is graceful</t>
        </is>
      </c>
      <c r="J62" s="43" t="inlineStr">
        <is>
          <t>NOT RUN</t>
        </is>
      </c>
      <c r="K62" s="37" t="inlineStr">
        <is>
          <t>Claude (pending env)</t>
        </is>
      </c>
      <c r="L62" s="37" t="n"/>
      <c r="M62" s="37" t="n"/>
      <c r="N62" s="37" t="inlineStr">
        <is>
          <t>[T4 | Phase 4 | Claude (pending env)] Playwright/authenticated-API against running env. awaiting running staging URL + test accounts</t>
        </is>
      </c>
    </row>
    <row r="63" ht="53.7" customHeight="1" s="29">
      <c r="A63" s="36" t="inlineStr">
        <is>
          <t>MX-EDGE-0061</t>
        </is>
      </c>
      <c r="B63" s="54" t="inlineStr">
        <is>
          <t>P1</t>
        </is>
      </c>
      <c r="C63" s="36" t="inlineStr">
        <is>
          <t>Backend/Edge Fn</t>
        </is>
      </c>
      <c r="D63" s="36" t="inlineStr">
        <is>
          <t>mock-exam-runner — Happy-path smoke</t>
        </is>
      </c>
      <c r="E63" s="36" t="inlineStr">
        <is>
          <t>Confirms the 'Happy-path smoke' property of the 'mock-exam-runner' Edge Function. With ~90 functions across two hosts, observability and auth on EACH is what makes incidents debuggable and safe; the 17-day silent-cron outage happened because a function failed unseen.</t>
        </is>
      </c>
      <c r="F63" s="36" t="inlineStr">
        <is>
          <t>Ability to invoke the function (API client) and read its logs on the serving host.</t>
        </is>
      </c>
      <c r="G63" s="36" t="inlineStr">
        <is>
          <t>1) Invoke the function with a valid request and confirm a correct 2xx response and expected side effect. (function: mock-exam-runner).</t>
        </is>
      </c>
      <c r="H63" s="36" t="inlineStr">
        <is>
          <t>Returns success; performs its intended effect; no error.</t>
        </is>
      </c>
      <c r="I63" s="36" t="inlineStr">
        <is>
          <t>Response + log excerpt for mock-exam-runner — Happy-path smoke</t>
        </is>
      </c>
      <c r="J63" s="41" t="inlineStr">
        <is>
          <t>NOT RUN</t>
        </is>
      </c>
      <c r="K63" s="36" t="inlineStr">
        <is>
          <t>Claude (pending env)</t>
        </is>
      </c>
      <c r="L63" s="36" t="n"/>
      <c r="M63" s="36" t="n"/>
      <c r="N63" s="36" t="inlineStr">
        <is>
          <t>[T4 | Phase 4 | Claude (pending env)] Playwright/authenticated-API against running env. awaiting running staging URL + test accounts</t>
        </is>
      </c>
    </row>
    <row r="64" ht="53.7" customHeight="1" s="29">
      <c r="A64" s="37" t="inlineStr">
        <is>
          <t>MX-EDGE-0062</t>
        </is>
      </c>
      <c r="B64" s="54" t="inlineStr">
        <is>
          <t>P1</t>
        </is>
      </c>
      <c r="C64" s="37" t="inlineStr">
        <is>
          <t>Backend/Edge Fn</t>
        </is>
      </c>
      <c r="D64" s="37" t="inlineStr">
        <is>
          <t>mock-exam-runner — Structured start/success/failure logs + correlation ID</t>
        </is>
      </c>
      <c r="E64" s="37" t="inlineStr">
        <is>
          <t>Confirms the 'Structured start/success/failure logs + correlation ID' property of the 'mock-exam-runner' Edge Function. With ~90 functions across two hosts, observability and auth on EACH is what makes incidents debuggable and safe; the 17-day silent-cron outage happened because a function failed unseen.</t>
        </is>
      </c>
      <c r="F64" s="37" t="inlineStr">
        <is>
          <t>Ability to invoke the function (API client) and read its logs on the serving host.</t>
        </is>
      </c>
      <c r="G64" s="37" t="inlineStr">
        <is>
          <t>1) Invoke it and inspect logs; confirm a start log, a terminal (success/failure) log, and a correlation ID that ties them together, plus a host tag. (function: mock-exam-runner).</t>
        </is>
      </c>
      <c r="H64" s="37" t="inlineStr">
        <is>
          <t>Start + terminal logs present, sharing a correlation ID and host tag.</t>
        </is>
      </c>
      <c r="I64" s="37" t="inlineStr">
        <is>
          <t>Response + log excerpt for mock-exam-runner — Structured start/success/failure logs + correlation ID</t>
        </is>
      </c>
      <c r="J64" s="43" t="inlineStr">
        <is>
          <t>NOT RUN</t>
        </is>
      </c>
      <c r="K64" s="37" t="inlineStr">
        <is>
          <t>Claude (pending env)</t>
        </is>
      </c>
      <c r="L64" s="37" t="n"/>
      <c r="M64" s="37" t="n"/>
      <c r="N64" s="37" t="inlineStr">
        <is>
          <t>[T4 | Phase 4 | Claude (pending env)] Playwright/authenticated-API against running env. awaiting running staging URL + test accounts</t>
        </is>
      </c>
    </row>
    <row r="65" ht="53.7" customHeight="1" s="29">
      <c r="A65" s="36" t="inlineStr">
        <is>
          <t>MX-EDGE-0063</t>
        </is>
      </c>
      <c r="B65" s="53" t="inlineStr">
        <is>
          <t>P0</t>
        </is>
      </c>
      <c r="C65" s="36" t="inlineStr">
        <is>
          <t>Backend/Edge Fn</t>
        </is>
      </c>
      <c r="D65" s="36" t="inlineStr">
        <is>
          <t>mock-exam-runner — Auth boundary</t>
        </is>
      </c>
      <c r="E65" s="36" t="inlineStr">
        <is>
          <t>Confirms the 'Auth boundary' property of the 'mock-exam-runner' Edge Function. With ~90 functions across two hosts, observability and auth on EACH is what makes incidents debuggable and safe; the 17-day silent-cron outage happened because a function failed unseen.</t>
        </is>
      </c>
      <c r="F65" s="36" t="inlineStr">
        <is>
          <t>Ability to invoke the function (API client) and read its logs on the serving host.</t>
        </is>
      </c>
      <c r="G65" s="36" t="inlineStr">
        <is>
          <t>1) Invoke it without a valid session / with the wrong role (where the function is not deliberately public). (function: mock-exam-runner).</t>
        </is>
      </c>
      <c r="H65" s="36" t="inlineStr">
        <is>
          <t>Rejects unauthorised callers with a structured error (or is deliberately public with an internal auth check).</t>
        </is>
      </c>
      <c r="I65" s="36" t="inlineStr">
        <is>
          <t>Response + log excerpt for mock-exam-runner — Auth boundary</t>
        </is>
      </c>
      <c r="J65" s="41" t="inlineStr">
        <is>
          <t>NOT RUN</t>
        </is>
      </c>
      <c r="K65" s="36" t="inlineStr">
        <is>
          <t>Claude (pending env)</t>
        </is>
      </c>
      <c r="L65" s="36" t="n"/>
      <c r="M65" s="36" t="n"/>
      <c r="N65" s="36" t="inlineStr">
        <is>
          <t>[T4 | Phase 4 | Claude (pending env)] Playwright/authenticated-API against running env. awaiting running staging URL + test accounts</t>
        </is>
      </c>
    </row>
    <row r="66" ht="53.7" customHeight="1" s="29">
      <c r="A66" s="37" t="inlineStr">
        <is>
          <t>MX-EDGE-0064</t>
        </is>
      </c>
      <c r="B66" s="54" t="inlineStr">
        <is>
          <t>P1</t>
        </is>
      </c>
      <c r="C66" s="37" t="inlineStr">
        <is>
          <t>Backend/Edge Fn</t>
        </is>
      </c>
      <c r="D66" s="37" t="inlineStr">
        <is>
          <t>mock-exam-runner — Failure path is graceful</t>
        </is>
      </c>
      <c r="E66" s="37" t="inlineStr">
        <is>
          <t>Confirms the 'Failure path is graceful' property of the 'mock-exam-runner' Edge Function. With ~90 functions across two hosts, observability and auth on EACH is what makes incidents debuggable and safe; the 17-day silent-cron outage happened because a function failed unseen.</t>
        </is>
      </c>
      <c r="F66" s="37" t="inlineStr">
        <is>
          <t>Ability to invoke the function (API client) and read its logs on the serving host.</t>
        </is>
      </c>
      <c r="G66" s="37" t="inlineStr">
        <is>
          <t>1) Force its downstream dependency to fail (bad input or simulated dependency error) and observe. (function: mock-exam-runner).</t>
        </is>
      </c>
      <c r="H66" s="37" t="inlineStr">
        <is>
          <t>Fails gracefully with a structured error and a failure log; no crash, no partial write, no silent success.</t>
        </is>
      </c>
      <c r="I66" s="37" t="inlineStr">
        <is>
          <t>Response + log excerpt for mock-exam-runner — Failure path is graceful</t>
        </is>
      </c>
      <c r="J66" s="43" t="inlineStr">
        <is>
          <t>NOT RUN</t>
        </is>
      </c>
      <c r="K66" s="37" t="inlineStr">
        <is>
          <t>Claude (pending env)</t>
        </is>
      </c>
      <c r="L66" s="37" t="n"/>
      <c r="M66" s="37" t="n"/>
      <c r="N66" s="37" t="inlineStr">
        <is>
          <t>[T4 | Phase 4 | Claude (pending env)] Playwright/authenticated-API against running env. awaiting running staging URL + test accounts</t>
        </is>
      </c>
    </row>
    <row r="67" ht="53.7" customHeight="1" s="29">
      <c r="A67" s="36" t="inlineStr">
        <is>
          <t>MX-EDGE-0065</t>
        </is>
      </c>
      <c r="B67" s="54" t="inlineStr">
        <is>
          <t>P1</t>
        </is>
      </c>
      <c r="C67" s="36" t="inlineStr">
        <is>
          <t>Backend/Edge Fn</t>
        </is>
      </c>
      <c r="D67" s="36" t="inlineStr">
        <is>
          <t>parent-portal — Happy-path smoke</t>
        </is>
      </c>
      <c r="E67" s="36" t="inlineStr">
        <is>
          <t>Confirms the 'Happy-path smoke' property of the 'parent-portal' Edge Function. With ~90 functions across two hosts, observability and auth on EACH is what makes incidents debuggable and safe; the 17-day silent-cron outage happened because a function failed unseen.</t>
        </is>
      </c>
      <c r="F67" s="36" t="inlineStr">
        <is>
          <t>Ability to invoke the function (API client) and read its logs on the serving host.</t>
        </is>
      </c>
      <c r="G67" s="36" t="inlineStr">
        <is>
          <t>1) Invoke the function with a valid request and confirm a correct 2xx response and expected side effect. (function: parent-portal).</t>
        </is>
      </c>
      <c r="H67" s="36" t="inlineStr">
        <is>
          <t>Returns success; performs its intended effect; no error.</t>
        </is>
      </c>
      <c r="I67" s="36" t="inlineStr">
        <is>
          <t>Response + log excerpt for parent-portal — Happy-path smoke</t>
        </is>
      </c>
      <c r="J67" s="41" t="inlineStr">
        <is>
          <t>NOT RUN</t>
        </is>
      </c>
      <c r="K67" s="36" t="inlineStr">
        <is>
          <t>Claude (pending env)</t>
        </is>
      </c>
      <c r="L67" s="36" t="n"/>
      <c r="M67" s="36" t="n"/>
      <c r="N67" s="36" t="inlineStr">
        <is>
          <t>[T4 | Phase 4 | Claude (pending env)] Playwright/authenticated-API against running env. awaiting running staging URL + test accounts</t>
        </is>
      </c>
    </row>
    <row r="68" ht="53.7" customHeight="1" s="29">
      <c r="A68" s="37" t="inlineStr">
        <is>
          <t>MX-EDGE-0066</t>
        </is>
      </c>
      <c r="B68" s="54" t="inlineStr">
        <is>
          <t>P1</t>
        </is>
      </c>
      <c r="C68" s="37" t="inlineStr">
        <is>
          <t>Backend/Edge Fn</t>
        </is>
      </c>
      <c r="D68" s="37" t="inlineStr">
        <is>
          <t>parent-portal — Structured start/success/failure logs + correlation ID</t>
        </is>
      </c>
      <c r="E68" s="37" t="inlineStr">
        <is>
          <t>Confirms the 'Structured start/success/failure logs + correlation ID' property of the 'parent-portal' Edge Function. With ~90 functions across two hosts, observability and auth on EACH is what makes incidents debuggable and safe; the 17-day silent-cron outage happened because a function failed unseen.</t>
        </is>
      </c>
      <c r="F68" s="37" t="inlineStr">
        <is>
          <t>Ability to invoke the function (API client) and read its logs on the serving host.</t>
        </is>
      </c>
      <c r="G68" s="37" t="inlineStr">
        <is>
          <t>1) Invoke it and inspect logs; confirm a start log, a terminal (success/failure) log, and a correlation ID that ties them together, plus a host tag. (function: parent-portal).</t>
        </is>
      </c>
      <c r="H68" s="37" t="inlineStr">
        <is>
          <t>Start + terminal logs present, sharing a correlation ID and host tag.</t>
        </is>
      </c>
      <c r="I68" s="37" t="inlineStr">
        <is>
          <t>Response + log excerpt for parent-portal — Structured start/success/failure logs + correlation ID</t>
        </is>
      </c>
      <c r="J68" s="43" t="inlineStr">
        <is>
          <t>NOT RUN</t>
        </is>
      </c>
      <c r="K68" s="37" t="inlineStr">
        <is>
          <t>Claude (pending env)</t>
        </is>
      </c>
      <c r="L68" s="37" t="n"/>
      <c r="M68" s="37" t="n"/>
      <c r="N68" s="37" t="inlineStr">
        <is>
          <t>[T4 | Phase 4 | Claude (pending env)] Playwright/authenticated-API against running env. awaiting running staging URL + test accounts</t>
        </is>
      </c>
    </row>
    <row r="69" ht="53.7" customHeight="1" s="29">
      <c r="A69" s="36" t="inlineStr">
        <is>
          <t>MX-EDGE-0067</t>
        </is>
      </c>
      <c r="B69" s="53" t="inlineStr">
        <is>
          <t>P0</t>
        </is>
      </c>
      <c r="C69" s="36" t="inlineStr">
        <is>
          <t>Backend/Edge Fn</t>
        </is>
      </c>
      <c r="D69" s="36" t="inlineStr">
        <is>
          <t>parent-portal — Auth boundary</t>
        </is>
      </c>
      <c r="E69" s="36" t="inlineStr">
        <is>
          <t>Confirms the 'Auth boundary' property of the 'parent-portal' Edge Function. With ~90 functions across two hosts, observability and auth on EACH is what makes incidents debuggable and safe; the 17-day silent-cron outage happened because a function failed unseen.</t>
        </is>
      </c>
      <c r="F69" s="36" t="inlineStr">
        <is>
          <t>Ability to invoke the function (API client) and read its logs on the serving host.</t>
        </is>
      </c>
      <c r="G69" s="36" t="inlineStr">
        <is>
          <t>1) Invoke it without a valid session / with the wrong role (where the function is not deliberately public). (function: parent-portal).</t>
        </is>
      </c>
      <c r="H69" s="36" t="inlineStr">
        <is>
          <t>Rejects unauthorised callers with a structured error (or is deliberately public with an internal auth check).</t>
        </is>
      </c>
      <c r="I69" s="36" t="inlineStr">
        <is>
          <t>Response + log excerpt for parent-portal — Auth boundary</t>
        </is>
      </c>
      <c r="J69" s="41" t="inlineStr">
        <is>
          <t>NOT RUN</t>
        </is>
      </c>
      <c r="K69" s="36" t="inlineStr">
        <is>
          <t>Claude (pending env)</t>
        </is>
      </c>
      <c r="L69" s="36" t="n"/>
      <c r="M69" s="36" t="n"/>
      <c r="N69" s="36" t="inlineStr">
        <is>
          <t>[T4 | Phase 4 | Claude (pending env)] Playwright/authenticated-API against running env. awaiting running staging URL + test accounts</t>
        </is>
      </c>
    </row>
    <row r="70" ht="53.7" customHeight="1" s="29">
      <c r="A70" s="37" t="inlineStr">
        <is>
          <t>MX-EDGE-0068</t>
        </is>
      </c>
      <c r="B70" s="54" t="inlineStr">
        <is>
          <t>P1</t>
        </is>
      </c>
      <c r="C70" s="37" t="inlineStr">
        <is>
          <t>Backend/Edge Fn</t>
        </is>
      </c>
      <c r="D70" s="37" t="inlineStr">
        <is>
          <t>parent-portal — Failure path is graceful</t>
        </is>
      </c>
      <c r="E70" s="37" t="inlineStr">
        <is>
          <t>Confirms the 'Failure path is graceful' property of the 'parent-portal' Edge Function. With ~90 functions across two hosts, observability and auth on EACH is what makes incidents debuggable and safe; the 17-day silent-cron outage happened because a function failed unseen.</t>
        </is>
      </c>
      <c r="F70" s="37" t="inlineStr">
        <is>
          <t>Ability to invoke the function (API client) and read its logs on the serving host.</t>
        </is>
      </c>
      <c r="G70" s="37" t="inlineStr">
        <is>
          <t>1) Force its downstream dependency to fail (bad input or simulated dependency error) and observe. (function: parent-portal).</t>
        </is>
      </c>
      <c r="H70" s="37" t="inlineStr">
        <is>
          <t>Fails gracefully with a structured error and a failure log; no crash, no partial write, no silent success.</t>
        </is>
      </c>
      <c r="I70" s="37" t="inlineStr">
        <is>
          <t>Response + log excerpt for parent-portal — Failure path is graceful</t>
        </is>
      </c>
      <c r="J70" s="43" t="inlineStr">
        <is>
          <t>NOT RUN</t>
        </is>
      </c>
      <c r="K70" s="37" t="inlineStr">
        <is>
          <t>Claude (pending env)</t>
        </is>
      </c>
      <c r="L70" s="37" t="n"/>
      <c r="M70" s="37" t="n"/>
      <c r="N70" s="37" t="inlineStr">
        <is>
          <t>[T4 | Phase 4 | Claude (pending env)] Playwright/authenticated-API against running env. awaiting running staging URL + test accounts</t>
        </is>
      </c>
    </row>
    <row r="71" ht="53.7" customHeight="1" s="29">
      <c r="A71" s="36" t="inlineStr">
        <is>
          <t>MX-EDGE-0069</t>
        </is>
      </c>
      <c r="B71" s="54" t="inlineStr">
        <is>
          <t>P1</t>
        </is>
      </c>
      <c r="C71" s="36" t="inlineStr">
        <is>
          <t>Backend/Edge Fn</t>
        </is>
      </c>
      <c r="D71" s="36" t="inlineStr">
        <is>
          <t>parent-link-otp — Happy-path smoke</t>
        </is>
      </c>
      <c r="E71" s="36" t="inlineStr">
        <is>
          <t>Confirms the 'Happy-path smoke' property of the 'parent-link-otp' Edge Function. With ~90 functions across two hosts, observability and auth on EACH is what makes incidents debuggable and safe; the 17-day silent-cron outage happened because a function failed unseen.</t>
        </is>
      </c>
      <c r="F71" s="36" t="inlineStr">
        <is>
          <t>Ability to invoke the function (API client) and read its logs on the serving host.</t>
        </is>
      </c>
      <c r="G71" s="36" t="inlineStr">
        <is>
          <t>1) Invoke the function with a valid request and confirm a correct 2xx response and expected side effect. (function: parent-link-otp).</t>
        </is>
      </c>
      <c r="H71" s="36" t="inlineStr">
        <is>
          <t>Returns success; performs its intended effect; no error.</t>
        </is>
      </c>
      <c r="I71" s="36" t="inlineStr">
        <is>
          <t>Response + log excerpt for parent-link-otp — Happy-path smoke</t>
        </is>
      </c>
      <c r="J71" s="41" t="inlineStr">
        <is>
          <t>NOT RUN</t>
        </is>
      </c>
      <c r="K71" s="36" t="inlineStr">
        <is>
          <t>Claude (pending env)</t>
        </is>
      </c>
      <c r="L71" s="36" t="n"/>
      <c r="M71" s="36" t="n"/>
      <c r="N71" s="36" t="inlineStr">
        <is>
          <t>[T4 | Phase 4 | Claude (pending env)] Playwright/authenticated-API against running env. awaiting running staging URL + test accounts</t>
        </is>
      </c>
    </row>
    <row r="72" ht="53.7" customHeight="1" s="29">
      <c r="A72" s="37" t="inlineStr">
        <is>
          <t>MX-EDGE-0070</t>
        </is>
      </c>
      <c r="B72" s="54" t="inlineStr">
        <is>
          <t>P1</t>
        </is>
      </c>
      <c r="C72" s="37" t="inlineStr">
        <is>
          <t>Backend/Edge Fn</t>
        </is>
      </c>
      <c r="D72" s="37" t="inlineStr">
        <is>
          <t>parent-link-otp — Structured start/success/failure logs + correlation ID</t>
        </is>
      </c>
      <c r="E72" s="37" t="inlineStr">
        <is>
          <t>Confirms the 'Structured start/success/failure logs + correlation ID' property of the 'parent-link-otp' Edge Function. With ~90 functions across two hosts, observability and auth on EACH is what makes incidents debuggable and safe; the 17-day silent-cron outage happened because a function failed unseen.</t>
        </is>
      </c>
      <c r="F72" s="37" t="inlineStr">
        <is>
          <t>Ability to invoke the function (API client) and read its logs on the serving host.</t>
        </is>
      </c>
      <c r="G72" s="37" t="inlineStr">
        <is>
          <t>1) Invoke it and inspect logs; confirm a start log, a terminal (success/failure) log, and a correlation ID that ties them together, plus a host tag. (function: parent-link-otp).</t>
        </is>
      </c>
      <c r="H72" s="37" t="inlineStr">
        <is>
          <t>Start + terminal logs present, sharing a correlation ID and host tag.</t>
        </is>
      </c>
      <c r="I72" s="37" t="inlineStr">
        <is>
          <t>Response + log excerpt for parent-link-otp — Structured start/success/failure logs + correlation ID</t>
        </is>
      </c>
      <c r="J72" s="43" t="inlineStr">
        <is>
          <t>NOT RUN</t>
        </is>
      </c>
      <c r="K72" s="37" t="inlineStr">
        <is>
          <t>Claude (pending env)</t>
        </is>
      </c>
      <c r="L72" s="37" t="n"/>
      <c r="M72" s="37" t="n"/>
      <c r="N72" s="37" t="inlineStr">
        <is>
          <t>[T4 | Phase 4 | Claude (pending env)] Playwright/authenticated-API against running env. awaiting running staging URL + test accounts</t>
        </is>
      </c>
    </row>
    <row r="73" ht="53.7" customHeight="1" s="29">
      <c r="A73" s="36" t="inlineStr">
        <is>
          <t>MX-EDGE-0071</t>
        </is>
      </c>
      <c r="B73" s="53" t="inlineStr">
        <is>
          <t>P0</t>
        </is>
      </c>
      <c r="C73" s="36" t="inlineStr">
        <is>
          <t>Backend/Edge Fn</t>
        </is>
      </c>
      <c r="D73" s="36" t="inlineStr">
        <is>
          <t>parent-link-otp — Auth boundary</t>
        </is>
      </c>
      <c r="E73" s="36" t="inlineStr">
        <is>
          <t>Confirms the 'Auth boundary' property of the 'parent-link-otp' Edge Function. With ~90 functions across two hosts, observability and auth on EACH is what makes incidents debuggable and safe; the 17-day silent-cron outage happened because a function failed unseen.</t>
        </is>
      </c>
      <c r="F73" s="36" t="inlineStr">
        <is>
          <t>Ability to invoke the function (API client) and read its logs on the serving host.</t>
        </is>
      </c>
      <c r="G73" s="36" t="inlineStr">
        <is>
          <t>1) Invoke it without a valid session / with the wrong role (where the function is not deliberately public). (function: parent-link-otp).</t>
        </is>
      </c>
      <c r="H73" s="36" t="inlineStr">
        <is>
          <t>Rejects unauthorised callers with a structured error (or is deliberately public with an internal auth check).</t>
        </is>
      </c>
      <c r="I73" s="36" t="inlineStr">
        <is>
          <t>Response + log excerpt for parent-link-otp — Auth boundary</t>
        </is>
      </c>
      <c r="J73" s="41" t="inlineStr">
        <is>
          <t>NOT RUN</t>
        </is>
      </c>
      <c r="K73" s="36" t="inlineStr">
        <is>
          <t>Claude (pending env)</t>
        </is>
      </c>
      <c r="L73" s="36" t="n"/>
      <c r="M73" s="36" t="n"/>
      <c r="N73" s="36" t="inlineStr">
        <is>
          <t>[T4 | Phase 4 | Claude (pending env)] Playwright/authenticated-API against running env. awaiting running staging URL + test accounts</t>
        </is>
      </c>
    </row>
    <row r="74" ht="53.7" customHeight="1" s="29">
      <c r="A74" s="37" t="inlineStr">
        <is>
          <t>MX-EDGE-0072</t>
        </is>
      </c>
      <c r="B74" s="54" t="inlineStr">
        <is>
          <t>P1</t>
        </is>
      </c>
      <c r="C74" s="37" t="inlineStr">
        <is>
          <t>Backend/Edge Fn</t>
        </is>
      </c>
      <c r="D74" s="37" t="inlineStr">
        <is>
          <t>parent-link-otp — Failure path is graceful</t>
        </is>
      </c>
      <c r="E74" s="37" t="inlineStr">
        <is>
          <t>Confirms the 'Failure path is graceful' property of the 'parent-link-otp' Edge Function. With ~90 functions across two hosts, observability and auth on EACH is what makes incidents debuggable and safe; the 17-day silent-cron outage happened because a function failed unseen.</t>
        </is>
      </c>
      <c r="F74" s="37" t="inlineStr">
        <is>
          <t>Ability to invoke the function (API client) and read its logs on the serving host.</t>
        </is>
      </c>
      <c r="G74" s="37" t="inlineStr">
        <is>
          <t>1) Force its downstream dependency to fail (bad input or simulated dependency error) and observe. (function: parent-link-otp).</t>
        </is>
      </c>
      <c r="H74" s="37" t="inlineStr">
        <is>
          <t>Fails gracefully with a structured error and a failure log; no crash, no partial write, no silent success.</t>
        </is>
      </c>
      <c r="I74" s="37" t="inlineStr">
        <is>
          <t>Response + log excerpt for parent-link-otp — Failure path is graceful</t>
        </is>
      </c>
      <c r="J74" s="43" t="inlineStr">
        <is>
          <t>NOT RUN</t>
        </is>
      </c>
      <c r="K74" s="37" t="inlineStr">
        <is>
          <t>Claude (pending env)</t>
        </is>
      </c>
      <c r="L74" s="37" t="n"/>
      <c r="M74" s="37" t="n"/>
      <c r="N74" s="37" t="inlineStr">
        <is>
          <t>[T4 | Phase 4 | Claude (pending env)] Playwright/authenticated-API against running env. awaiting running staging URL + test accounts</t>
        </is>
      </c>
    </row>
    <row r="75" ht="53.7" customHeight="1" s="29">
      <c r="A75" s="36" t="inlineStr">
        <is>
          <t>MX-EDGE-0073</t>
        </is>
      </c>
      <c r="B75" s="54" t="inlineStr">
        <is>
          <t>P1</t>
        </is>
      </c>
      <c r="C75" s="36" t="inlineStr">
        <is>
          <t>Backend/Edge Fn</t>
        </is>
      </c>
      <c r="D75" s="36" t="inlineStr">
        <is>
          <t>consent-recorder — Happy-path smoke</t>
        </is>
      </c>
      <c r="E75" s="36" t="inlineStr">
        <is>
          <t>Confirms the 'Happy-path smoke' property of the 'consent-recorder' Edge Function. With ~90 functions across two hosts, observability and auth on EACH is what makes incidents debuggable and safe; the 17-day silent-cron outage happened because a function failed unseen.</t>
        </is>
      </c>
      <c r="F75" s="36" t="inlineStr">
        <is>
          <t>Ability to invoke the function (API client) and read its logs on the serving host.</t>
        </is>
      </c>
      <c r="G75" s="36" t="inlineStr">
        <is>
          <t>1) Invoke the function with a valid request and confirm a correct 2xx response and expected side effect. (function: consent-recorder).</t>
        </is>
      </c>
      <c r="H75" s="36" t="inlineStr">
        <is>
          <t>Returns success; performs its intended effect; no error.</t>
        </is>
      </c>
      <c r="I75" s="36" t="inlineStr">
        <is>
          <t>Response + log excerpt for consent-recorder — Happy-path smoke</t>
        </is>
      </c>
      <c r="J75" s="41" t="inlineStr">
        <is>
          <t>NOT RUN</t>
        </is>
      </c>
      <c r="K75" s="36" t="inlineStr">
        <is>
          <t>Claude (pending env)</t>
        </is>
      </c>
      <c r="L75" s="36" t="n"/>
      <c r="M75" s="36" t="n"/>
      <c r="N75" s="36" t="inlineStr">
        <is>
          <t>[T4 | Phase 4 | Claude (pending env)] Playwright/authenticated-API against running env. awaiting running staging URL + test accounts</t>
        </is>
      </c>
    </row>
    <row r="76" ht="53.7" customHeight="1" s="29">
      <c r="A76" s="37" t="inlineStr">
        <is>
          <t>MX-EDGE-0074</t>
        </is>
      </c>
      <c r="B76" s="54" t="inlineStr">
        <is>
          <t>P1</t>
        </is>
      </c>
      <c r="C76" s="37" t="inlineStr">
        <is>
          <t>Backend/Edge Fn</t>
        </is>
      </c>
      <c r="D76" s="37" t="inlineStr">
        <is>
          <t>consent-recorder — Structured start/success/failure logs + correlation ID</t>
        </is>
      </c>
      <c r="E76" s="37" t="inlineStr">
        <is>
          <t>Confirms the 'Structured start/success/failure logs + correlation ID' property of the 'consent-recorder' Edge Function. With ~90 functions across two hosts, observability and auth on EACH is what makes incidents debuggable and safe; the 17-day silent-cron outage happened because a function failed unseen.</t>
        </is>
      </c>
      <c r="F76" s="37" t="inlineStr">
        <is>
          <t>Ability to invoke the function (API client) and read its logs on the serving host.</t>
        </is>
      </c>
      <c r="G76" s="37" t="inlineStr">
        <is>
          <t>1) Invoke it and inspect logs; confirm a start log, a terminal (success/failure) log, and a correlation ID that ties them together, plus a host tag. (function: consent-recorder).</t>
        </is>
      </c>
      <c r="H76" s="37" t="inlineStr">
        <is>
          <t>Start + terminal logs present, sharing a correlation ID and host tag.</t>
        </is>
      </c>
      <c r="I76" s="37" t="inlineStr">
        <is>
          <t>Response + log excerpt for consent-recorder — Structured start/success/failure logs + correlation ID</t>
        </is>
      </c>
      <c r="J76" s="43" t="inlineStr">
        <is>
          <t>NOT RUN</t>
        </is>
      </c>
      <c r="K76" s="37" t="inlineStr">
        <is>
          <t>Claude (pending env)</t>
        </is>
      </c>
      <c r="L76" s="37" t="n"/>
      <c r="M76" s="37" t="n"/>
      <c r="N76" s="37" t="inlineStr">
        <is>
          <t>[T4 | Phase 4 | Claude (pending env)] Playwright/authenticated-API against running env. awaiting running staging URL + test accounts</t>
        </is>
      </c>
    </row>
    <row r="77" ht="53.7" customHeight="1" s="29">
      <c r="A77" s="36" t="inlineStr">
        <is>
          <t>MX-EDGE-0075</t>
        </is>
      </c>
      <c r="B77" s="53" t="inlineStr">
        <is>
          <t>P0</t>
        </is>
      </c>
      <c r="C77" s="36" t="inlineStr">
        <is>
          <t>Backend/Edge Fn</t>
        </is>
      </c>
      <c r="D77" s="36" t="inlineStr">
        <is>
          <t>consent-recorder — Auth boundary</t>
        </is>
      </c>
      <c r="E77" s="36" t="inlineStr">
        <is>
          <t>Confirms the 'Auth boundary' property of the 'consent-recorder' Edge Function. With ~90 functions across two hosts, observability and auth on EACH is what makes incidents debuggable and safe; the 17-day silent-cron outage happened because a function failed unseen.</t>
        </is>
      </c>
      <c r="F77" s="36" t="inlineStr">
        <is>
          <t>Ability to invoke the function (API client) and read its logs on the serving host.</t>
        </is>
      </c>
      <c r="G77" s="36" t="inlineStr">
        <is>
          <t>1) Invoke it without a valid session / with the wrong role (where the function is not deliberately public). (function: consent-recorder).</t>
        </is>
      </c>
      <c r="H77" s="36" t="inlineStr">
        <is>
          <t>Rejects unauthorised callers with a structured error (or is deliberately public with an internal auth check).</t>
        </is>
      </c>
      <c r="I77" s="36" t="inlineStr">
        <is>
          <t>Response + log excerpt for consent-recorder — Auth boundary</t>
        </is>
      </c>
      <c r="J77" s="41" t="inlineStr">
        <is>
          <t>NOT RUN</t>
        </is>
      </c>
      <c r="K77" s="36" t="inlineStr">
        <is>
          <t>Claude (pending env)</t>
        </is>
      </c>
      <c r="L77" s="36" t="n"/>
      <c r="M77" s="36" t="n"/>
      <c r="N77" s="36" t="inlineStr">
        <is>
          <t>[T4 | Phase 4 | Claude (pending env)] Playwright/authenticated-API against running env. awaiting running staging URL + test accounts</t>
        </is>
      </c>
    </row>
    <row r="78" ht="53.7" customHeight="1" s="29">
      <c r="A78" s="37" t="inlineStr">
        <is>
          <t>MX-EDGE-0076</t>
        </is>
      </c>
      <c r="B78" s="54" t="inlineStr">
        <is>
          <t>P1</t>
        </is>
      </c>
      <c r="C78" s="37" t="inlineStr">
        <is>
          <t>Backend/Edge Fn</t>
        </is>
      </c>
      <c r="D78" s="37" t="inlineStr">
        <is>
          <t>consent-recorder — Failure path is graceful</t>
        </is>
      </c>
      <c r="E78" s="37" t="inlineStr">
        <is>
          <t>Confirms the 'Failure path is graceful' property of the 'consent-recorder' Edge Function. With ~90 functions across two hosts, observability and auth on EACH is what makes incidents debuggable and safe; the 17-day silent-cron outage happened because a function failed unseen.</t>
        </is>
      </c>
      <c r="F78" s="37" t="inlineStr">
        <is>
          <t>Ability to invoke the function (API client) and read its logs on the serving host.</t>
        </is>
      </c>
      <c r="G78" s="37" t="inlineStr">
        <is>
          <t>1) Force its downstream dependency to fail (bad input or simulated dependency error) and observe. (function: consent-recorder).</t>
        </is>
      </c>
      <c r="H78" s="37" t="inlineStr">
        <is>
          <t>Fails gracefully with a structured error and a failure log; no crash, no partial write, no silent success.</t>
        </is>
      </c>
      <c r="I78" s="37" t="inlineStr">
        <is>
          <t>Response + log excerpt for consent-recorder — Failure path is graceful</t>
        </is>
      </c>
      <c r="J78" s="43" t="inlineStr">
        <is>
          <t>NOT RUN</t>
        </is>
      </c>
      <c r="K78" s="37" t="inlineStr">
        <is>
          <t>Claude (pending env)</t>
        </is>
      </c>
      <c r="L78" s="37" t="n"/>
      <c r="M78" s="37" t="n"/>
      <c r="N78" s="37" t="inlineStr">
        <is>
          <t>[T4 | Phase 4 | Claude (pending env)] Playwright/authenticated-API against running env. awaiting running staging URL + test accounts</t>
        </is>
      </c>
    </row>
    <row r="79" ht="53.7" customHeight="1" s="29">
      <c r="A79" s="36" t="inlineStr">
        <is>
          <t>MX-EDGE-0077</t>
        </is>
      </c>
      <c r="B79" s="54" t="inlineStr">
        <is>
          <t>P1</t>
        </is>
      </c>
      <c r="C79" s="36" t="inlineStr">
        <is>
          <t>Backend/Edge Fn</t>
        </is>
      </c>
      <c r="D79" s="36" t="inlineStr">
        <is>
          <t>whatsapp-notify — Happy-path smoke</t>
        </is>
      </c>
      <c r="E79" s="36" t="inlineStr">
        <is>
          <t>Confirms the 'Happy-path smoke' property of the 'whatsapp-notify' Edge Function. With ~90 functions across two hosts, observability and auth on EACH is what makes incidents debuggable and safe; the 17-day silent-cron outage happened because a function failed unseen.</t>
        </is>
      </c>
      <c r="F79" s="36" t="inlineStr">
        <is>
          <t>Ability to invoke the function (API client) and read its logs on the serving host.</t>
        </is>
      </c>
      <c r="G79" s="36" t="inlineStr">
        <is>
          <t>1) Invoke the function with a valid request and confirm a correct 2xx response and expected side effect. (function: whatsapp-notify).</t>
        </is>
      </c>
      <c r="H79" s="36" t="inlineStr">
        <is>
          <t>Returns success; performs its intended effect; no error.</t>
        </is>
      </c>
      <c r="I79" s="36" t="inlineStr">
        <is>
          <t>Response + log excerpt for whatsapp-notify — Happy-path smoke</t>
        </is>
      </c>
      <c r="J79" s="41" t="inlineStr">
        <is>
          <t>NOT RUN</t>
        </is>
      </c>
      <c r="K79" s="36" t="inlineStr">
        <is>
          <t>Human</t>
        </is>
      </c>
      <c r="L79" s="36" t="n"/>
      <c r="M79" s="36" t="n"/>
      <c r="N79" s="36" t="inlineStr">
        <is>
          <t>[T5 | Phase 5 | Human] human-executed (real money/device/inbox). awaiting human executor (LIVE keys / physical device / real inbox)</t>
        </is>
      </c>
    </row>
    <row r="80" ht="53.7" customHeight="1" s="29">
      <c r="A80" s="37" t="inlineStr">
        <is>
          <t>MX-EDGE-0078</t>
        </is>
      </c>
      <c r="B80" s="54" t="inlineStr">
        <is>
          <t>P1</t>
        </is>
      </c>
      <c r="C80" s="37" t="inlineStr">
        <is>
          <t>Backend/Edge Fn</t>
        </is>
      </c>
      <c r="D80" s="37" t="inlineStr">
        <is>
          <t>whatsapp-notify — Structured start/success/failure logs + correlation ID</t>
        </is>
      </c>
      <c r="E80" s="37" t="inlineStr">
        <is>
          <t>Confirms the 'Structured start/success/failure logs + correlation ID' property of the 'whatsapp-notify' Edge Function. With ~90 functions across two hosts, observability and auth on EACH is what makes incidents debuggable and safe; the 17-day silent-cron outage happened because a function failed unseen.</t>
        </is>
      </c>
      <c r="F80" s="37" t="inlineStr">
        <is>
          <t>Ability to invoke the function (API client) and read its logs on the serving host.</t>
        </is>
      </c>
      <c r="G80" s="37" t="inlineStr">
        <is>
          <t>1) Invoke it and inspect logs; confirm a start log, a terminal (success/failure) log, and a correlation ID that ties them together, plus a host tag. (function: whatsapp-notify).</t>
        </is>
      </c>
      <c r="H80" s="37" t="inlineStr">
        <is>
          <t>Start + terminal logs present, sharing a correlation ID and host tag.</t>
        </is>
      </c>
      <c r="I80" s="37" t="inlineStr">
        <is>
          <t>Response + log excerpt for whatsapp-notify — Structured start/success/failure logs + correlation ID</t>
        </is>
      </c>
      <c r="J80" s="43" t="inlineStr">
        <is>
          <t>NOT RUN</t>
        </is>
      </c>
      <c r="K80" s="37" t="inlineStr">
        <is>
          <t>Human</t>
        </is>
      </c>
      <c r="L80" s="37" t="n"/>
      <c r="M80" s="37" t="n"/>
      <c r="N80" s="37" t="inlineStr">
        <is>
          <t>[T5 | Phase 5 | Human] human-executed (real money/device/inbox). awaiting human executor (LIVE keys / physical device / real inbox)</t>
        </is>
      </c>
    </row>
    <row r="81" ht="53.7" customHeight="1" s="29">
      <c r="A81" s="36" t="inlineStr">
        <is>
          <t>MX-EDGE-0079</t>
        </is>
      </c>
      <c r="B81" s="53" t="inlineStr">
        <is>
          <t>P0</t>
        </is>
      </c>
      <c r="C81" s="36" t="inlineStr">
        <is>
          <t>Backend/Edge Fn</t>
        </is>
      </c>
      <c r="D81" s="36" t="inlineStr">
        <is>
          <t>whatsapp-notify — Auth boundary</t>
        </is>
      </c>
      <c r="E81" s="36" t="inlineStr">
        <is>
          <t>Confirms the 'Auth boundary' property of the 'whatsapp-notify' Edge Function. With ~90 functions across two hosts, observability and auth on EACH is what makes incidents debuggable and safe; the 17-day silent-cron outage happened because a function failed unseen.</t>
        </is>
      </c>
      <c r="F81" s="36" t="inlineStr">
        <is>
          <t>Ability to invoke the function (API client) and read its logs on the serving host.</t>
        </is>
      </c>
      <c r="G81" s="36" t="inlineStr">
        <is>
          <t>1) Invoke it without a valid session / with the wrong role (where the function is not deliberately public). (function: whatsapp-notify).</t>
        </is>
      </c>
      <c r="H81" s="36" t="inlineStr">
        <is>
          <t>Rejects unauthorised callers with a structured error (or is deliberately public with an internal auth check).</t>
        </is>
      </c>
      <c r="I81" s="36" t="inlineStr">
        <is>
          <t>Response + log excerpt for whatsapp-notify — Auth boundary</t>
        </is>
      </c>
      <c r="J81" s="41" t="inlineStr">
        <is>
          <t>NOT RUN</t>
        </is>
      </c>
      <c r="K81" s="36" t="inlineStr">
        <is>
          <t>Human</t>
        </is>
      </c>
      <c r="L81" s="36" t="n"/>
      <c r="M81" s="36" t="n"/>
      <c r="N81" s="36" t="inlineStr">
        <is>
          <t>[T5 | Phase 5 | Human] human-executed (real money/device/inbox). awaiting human executor (LIVE keys / physical device / real inbox)</t>
        </is>
      </c>
    </row>
    <row r="82" ht="53.7" customHeight="1" s="29">
      <c r="A82" s="37" t="inlineStr">
        <is>
          <t>MX-EDGE-0080</t>
        </is>
      </c>
      <c r="B82" s="54" t="inlineStr">
        <is>
          <t>P1</t>
        </is>
      </c>
      <c r="C82" s="37" t="inlineStr">
        <is>
          <t>Backend/Edge Fn</t>
        </is>
      </c>
      <c r="D82" s="37" t="inlineStr">
        <is>
          <t>whatsapp-notify — Failure path is graceful</t>
        </is>
      </c>
      <c r="E82" s="37" t="inlineStr">
        <is>
          <t>Confirms the 'Failure path is graceful' property of the 'whatsapp-notify' Edge Function. With ~90 functions across two hosts, observability and auth on EACH is what makes incidents debuggable and safe; the 17-day silent-cron outage happened because a function failed unseen.</t>
        </is>
      </c>
      <c r="F82" s="37" t="inlineStr">
        <is>
          <t>Ability to invoke the function (API client) and read its logs on the serving host.</t>
        </is>
      </c>
      <c r="G82" s="37" t="inlineStr">
        <is>
          <t>1) Force its downstream dependency to fail (bad input or simulated dependency error) and observe. (function: whatsapp-notify).</t>
        </is>
      </c>
      <c r="H82" s="37" t="inlineStr">
        <is>
          <t>Fails gracefully with a structured error and a failure log; no crash, no partial write, no silent success.</t>
        </is>
      </c>
      <c r="I82" s="37" t="inlineStr">
        <is>
          <t>Response + log excerpt for whatsapp-notify — Failure path is graceful</t>
        </is>
      </c>
      <c r="J82" s="43" t="inlineStr">
        <is>
          <t>NOT RUN</t>
        </is>
      </c>
      <c r="K82" s="37" t="inlineStr">
        <is>
          <t>Human</t>
        </is>
      </c>
      <c r="L82" s="37" t="n"/>
      <c r="M82" s="37" t="n"/>
      <c r="N82" s="37" t="inlineStr">
        <is>
          <t>[T5 | Phase 5 | Human] human-executed (real money/device/inbox). awaiting human executor (LIVE keys / physical device / real inbox)</t>
        </is>
      </c>
    </row>
    <row r="83" ht="53.7" customHeight="1" s="29">
      <c r="A83" s="36" t="inlineStr">
        <is>
          <t>MX-EDGE-0081</t>
        </is>
      </c>
      <c r="B83" s="54" t="inlineStr">
        <is>
          <t>P1</t>
        </is>
      </c>
      <c r="C83" s="36" t="inlineStr">
        <is>
          <t>Backend/Edge Fn</t>
        </is>
      </c>
      <c r="D83" s="36" t="inlineStr">
        <is>
          <t>weekly-report-builder — Happy-path smoke</t>
        </is>
      </c>
      <c r="E83" s="36" t="inlineStr">
        <is>
          <t>Confirms the 'Happy-path smoke' property of the 'weekly-report-builder' Edge Function. With ~90 functions across two hosts, observability and auth on EACH is what makes incidents debuggable and safe; the 17-day silent-cron outage happened because a function failed unseen.</t>
        </is>
      </c>
      <c r="F83" s="36" t="inlineStr">
        <is>
          <t>Ability to invoke the function (API client) and read its logs on the serving host.</t>
        </is>
      </c>
      <c r="G83" s="36" t="inlineStr">
        <is>
          <t>1) Invoke the function with a valid request and confirm a correct 2xx response and expected side effect. (function: weekly-report-builder).</t>
        </is>
      </c>
      <c r="H83" s="36" t="inlineStr">
        <is>
          <t>Returns success; performs its intended effect; no error.</t>
        </is>
      </c>
      <c r="I83" s="36" t="inlineStr">
        <is>
          <t>Response + log excerpt for weekly-report-builder — Happy-path smoke</t>
        </is>
      </c>
      <c r="J83" s="41" t="inlineStr">
        <is>
          <t>NOT RUN</t>
        </is>
      </c>
      <c r="K83" s="36" t="inlineStr">
        <is>
          <t>Claude (pending env)</t>
        </is>
      </c>
      <c r="L83" s="36" t="n"/>
      <c r="M83" s="36" t="n"/>
      <c r="N83" s="36" t="inlineStr">
        <is>
          <t>[T4 | Phase 4 | Claude (pending env)] Playwright/authenticated-API against running env. awaiting running staging URL + test accounts</t>
        </is>
      </c>
    </row>
    <row r="84" ht="53.7" customHeight="1" s="29">
      <c r="A84" s="37" t="inlineStr">
        <is>
          <t>MX-EDGE-0082</t>
        </is>
      </c>
      <c r="B84" s="54" t="inlineStr">
        <is>
          <t>P1</t>
        </is>
      </c>
      <c r="C84" s="37" t="inlineStr">
        <is>
          <t>Backend/Edge Fn</t>
        </is>
      </c>
      <c r="D84" s="37" t="inlineStr">
        <is>
          <t>weekly-report-builder — Structured start/success/failure logs + correlation ID</t>
        </is>
      </c>
      <c r="E84" s="37" t="inlineStr">
        <is>
          <t>Confirms the 'Structured start/success/failure logs + correlation ID' property of the 'weekly-report-builder' Edge Function. With ~90 functions across two hosts, observability and auth on EACH is what makes incidents debuggable and safe; the 17-day silent-cron outage happened because a function failed unseen.</t>
        </is>
      </c>
      <c r="F84" s="37" t="inlineStr">
        <is>
          <t>Ability to invoke the function (API client) and read its logs on the serving host.</t>
        </is>
      </c>
      <c r="G84" s="37" t="inlineStr">
        <is>
          <t>1) Invoke it and inspect logs; confirm a start log, a terminal (success/failure) log, and a correlation ID that ties them together, plus a host tag. (function: weekly-report-builder).</t>
        </is>
      </c>
      <c r="H84" s="37" t="inlineStr">
        <is>
          <t>Start + terminal logs present, sharing a correlation ID and host tag.</t>
        </is>
      </c>
      <c r="I84" s="37" t="inlineStr">
        <is>
          <t>Response + log excerpt for weekly-report-builder — Structured start/success/failure logs + correlation ID</t>
        </is>
      </c>
      <c r="J84" s="43" t="inlineStr">
        <is>
          <t>NOT RUN</t>
        </is>
      </c>
      <c r="K84" s="37" t="inlineStr">
        <is>
          <t>Claude (pending env)</t>
        </is>
      </c>
      <c r="L84" s="37" t="n"/>
      <c r="M84" s="37" t="n"/>
      <c r="N84" s="37" t="inlineStr">
        <is>
          <t>[T4 | Phase 4 | Claude (pending env)] Playwright/authenticated-API against running env. awaiting running staging URL + test accounts</t>
        </is>
      </c>
    </row>
    <row r="85" ht="53.7" customHeight="1" s="29">
      <c r="A85" s="36" t="inlineStr">
        <is>
          <t>MX-EDGE-0083</t>
        </is>
      </c>
      <c r="B85" s="53" t="inlineStr">
        <is>
          <t>P0</t>
        </is>
      </c>
      <c r="C85" s="36" t="inlineStr">
        <is>
          <t>Backend/Edge Fn</t>
        </is>
      </c>
      <c r="D85" s="36" t="inlineStr">
        <is>
          <t>weekly-report-builder — Auth boundary</t>
        </is>
      </c>
      <c r="E85" s="36" t="inlineStr">
        <is>
          <t>Confirms the 'Auth boundary' property of the 'weekly-report-builder' Edge Function. With ~90 functions across two hosts, observability and auth on EACH is what makes incidents debuggable and safe; the 17-day silent-cron outage happened because a function failed unseen.</t>
        </is>
      </c>
      <c r="F85" s="36" t="inlineStr">
        <is>
          <t>Ability to invoke the function (API client) and read its logs on the serving host.</t>
        </is>
      </c>
      <c r="G85" s="36" t="inlineStr">
        <is>
          <t>1) Invoke it without a valid session / with the wrong role (where the function is not deliberately public). (function: weekly-report-builder).</t>
        </is>
      </c>
      <c r="H85" s="36" t="inlineStr">
        <is>
          <t>Rejects unauthorised callers with a structured error (or is deliberately public with an internal auth check).</t>
        </is>
      </c>
      <c r="I85" s="36" t="inlineStr">
        <is>
          <t>Response + log excerpt for weekly-report-builder — Auth boundary</t>
        </is>
      </c>
      <c r="J85" s="41" t="inlineStr">
        <is>
          <t>NOT RUN</t>
        </is>
      </c>
      <c r="K85" s="36" t="inlineStr">
        <is>
          <t>Claude (pending env)</t>
        </is>
      </c>
      <c r="L85" s="36" t="n"/>
      <c r="M85" s="36" t="n"/>
      <c r="N85" s="36" t="inlineStr">
        <is>
          <t>[T4 | Phase 4 | Claude (pending env)] Playwright/authenticated-API against running env. awaiting running staging URL + test accounts</t>
        </is>
      </c>
    </row>
    <row r="86" ht="53.7" customHeight="1" s="29">
      <c r="A86" s="37" t="inlineStr">
        <is>
          <t>MX-EDGE-0084</t>
        </is>
      </c>
      <c r="B86" s="54" t="inlineStr">
        <is>
          <t>P1</t>
        </is>
      </c>
      <c r="C86" s="37" t="inlineStr">
        <is>
          <t>Backend/Edge Fn</t>
        </is>
      </c>
      <c r="D86" s="37" t="inlineStr">
        <is>
          <t>weekly-report-builder — Failure path is graceful</t>
        </is>
      </c>
      <c r="E86" s="37" t="inlineStr">
        <is>
          <t>Confirms the 'Failure path is graceful' property of the 'weekly-report-builder' Edge Function. With ~90 functions across two hosts, observability and auth on EACH is what makes incidents debuggable and safe; the 17-day silent-cron outage happened because a function failed unseen.</t>
        </is>
      </c>
      <c r="F86" s="37" t="inlineStr">
        <is>
          <t>Ability to invoke the function (API client) and read its logs on the serving host.</t>
        </is>
      </c>
      <c r="G86" s="37" t="inlineStr">
        <is>
          <t>1) Force its downstream dependency to fail (bad input or simulated dependency error) and observe. (function: weekly-report-builder).</t>
        </is>
      </c>
      <c r="H86" s="37" t="inlineStr">
        <is>
          <t>Fails gracefully with a structured error and a failure log; no crash, no partial write, no silent success.</t>
        </is>
      </c>
      <c r="I86" s="37" t="inlineStr">
        <is>
          <t>Response + log excerpt for weekly-report-builder — Failure path is graceful</t>
        </is>
      </c>
      <c r="J86" s="43" t="inlineStr">
        <is>
          <t>NOT RUN</t>
        </is>
      </c>
      <c r="K86" s="37" t="inlineStr">
        <is>
          <t>Claude (pending env)</t>
        </is>
      </c>
      <c r="L86" s="37" t="n"/>
      <c r="M86" s="37" t="n"/>
      <c r="N86" s="37" t="inlineStr">
        <is>
          <t>[T4 | Phase 4 | Claude (pending env)] Playwright/authenticated-API against running env. awaiting running staging URL + test accounts</t>
        </is>
      </c>
    </row>
    <row r="87" ht="53.7" customHeight="1" s="29">
      <c r="A87" s="36" t="inlineStr">
        <is>
          <t>MX-EDGE-0085</t>
        </is>
      </c>
      <c r="B87" s="54" t="inlineStr">
        <is>
          <t>P1</t>
        </is>
      </c>
      <c r="C87" s="36" t="inlineStr">
        <is>
          <t>Backend/Edge Fn</t>
        </is>
      </c>
      <c r="D87" s="36" t="inlineStr">
        <is>
          <t>account-purge — Happy-path smoke</t>
        </is>
      </c>
      <c r="E87" s="36" t="inlineStr">
        <is>
          <t>Confirms the 'Happy-path smoke' property of the 'account-purge' Edge Function. With ~90 functions across two hosts, observability and auth on EACH is what makes incidents debuggable and safe; the 17-day silent-cron outage happened because a function failed unseen.</t>
        </is>
      </c>
      <c r="F87" s="36" t="inlineStr">
        <is>
          <t>Ability to invoke the function (API client) and read its logs on the serving host.</t>
        </is>
      </c>
      <c r="G87" s="36" t="inlineStr">
        <is>
          <t>1) Invoke the function with a valid request and confirm a correct 2xx response and expected side effect. (function: account-purge).</t>
        </is>
      </c>
      <c r="H87" s="36" t="inlineStr">
        <is>
          <t>Returns success; performs its intended effect; no error.</t>
        </is>
      </c>
      <c r="I87" s="36" t="inlineStr">
        <is>
          <t>Response + log excerpt for account-purge — Happy-path smoke</t>
        </is>
      </c>
      <c r="J87" s="41" t="inlineStr">
        <is>
          <t>NOT RUN</t>
        </is>
      </c>
      <c r="K87" s="36" t="inlineStr">
        <is>
          <t>Claude (pending env)</t>
        </is>
      </c>
      <c r="L87" s="36" t="n"/>
      <c r="M87" s="36" t="n"/>
      <c r="N87" s="36" t="inlineStr">
        <is>
          <t>[T4 | Phase 4 | Claude (pending env)] Playwright/authenticated-API against running env. awaiting running staging URL + test accounts</t>
        </is>
      </c>
    </row>
    <row r="88" ht="53.7" customHeight="1" s="29">
      <c r="A88" s="37" t="inlineStr">
        <is>
          <t>MX-EDGE-0086</t>
        </is>
      </c>
      <c r="B88" s="54" t="inlineStr">
        <is>
          <t>P1</t>
        </is>
      </c>
      <c r="C88" s="37" t="inlineStr">
        <is>
          <t>Backend/Edge Fn</t>
        </is>
      </c>
      <c r="D88" s="37" t="inlineStr">
        <is>
          <t>account-purge — Structured start/success/failure logs + correlation ID</t>
        </is>
      </c>
      <c r="E88" s="37" t="inlineStr">
        <is>
          <t>Confirms the 'Structured start/success/failure logs + correlation ID' property of the 'account-purge' Edge Function. With ~90 functions across two hosts, observability and auth on EACH is what makes incidents debuggable and safe; the 17-day silent-cron outage happened because a function failed unseen.</t>
        </is>
      </c>
      <c r="F88" s="37" t="inlineStr">
        <is>
          <t>Ability to invoke the function (API client) and read its logs on the serving host.</t>
        </is>
      </c>
      <c r="G88" s="37" t="inlineStr">
        <is>
          <t>1) Invoke it and inspect logs; confirm a start log, a terminal (success/failure) log, and a correlation ID that ties them together, plus a host tag. (function: account-purge).</t>
        </is>
      </c>
      <c r="H88" s="37" t="inlineStr">
        <is>
          <t>Start + terminal logs present, sharing a correlation ID and host tag.</t>
        </is>
      </c>
      <c r="I88" s="37" t="inlineStr">
        <is>
          <t>Response + log excerpt for account-purge — Structured start/success/failure logs + correlation ID</t>
        </is>
      </c>
      <c r="J88" s="43" t="inlineStr">
        <is>
          <t>NOT RUN</t>
        </is>
      </c>
      <c r="K88" s="37" t="inlineStr">
        <is>
          <t>Claude (pending env)</t>
        </is>
      </c>
      <c r="L88" s="37" t="n"/>
      <c r="M88" s="37" t="n"/>
      <c r="N88" s="37" t="inlineStr">
        <is>
          <t>[T4 | Phase 4 | Claude (pending env)] Playwright/authenticated-API against running env. awaiting running staging URL + test accounts</t>
        </is>
      </c>
    </row>
    <row r="89" ht="53.7" customHeight="1" s="29">
      <c r="A89" s="36" t="inlineStr">
        <is>
          <t>MX-EDGE-0087</t>
        </is>
      </c>
      <c r="B89" s="53" t="inlineStr">
        <is>
          <t>P0</t>
        </is>
      </c>
      <c r="C89" s="36" t="inlineStr">
        <is>
          <t>Backend/Edge Fn</t>
        </is>
      </c>
      <c r="D89" s="36" t="inlineStr">
        <is>
          <t>account-purge — Auth boundary</t>
        </is>
      </c>
      <c r="E89" s="36" t="inlineStr">
        <is>
          <t>Confirms the 'Auth boundary' property of the 'account-purge' Edge Function. With ~90 functions across two hosts, observability and auth on EACH is what makes incidents debuggable and safe; the 17-day silent-cron outage happened because a function failed unseen.</t>
        </is>
      </c>
      <c r="F89" s="36" t="inlineStr">
        <is>
          <t>Ability to invoke the function (API client) and read its logs on the serving host.</t>
        </is>
      </c>
      <c r="G89" s="36" t="inlineStr">
        <is>
          <t>1) Invoke it without a valid session / with the wrong role (where the function is not deliberately public). (function: account-purge).</t>
        </is>
      </c>
      <c r="H89" s="36" t="inlineStr">
        <is>
          <t>Rejects unauthorised callers with a structured error (or is deliberately public with an internal auth check).</t>
        </is>
      </c>
      <c r="I89" s="36" t="inlineStr">
        <is>
          <t>Response + log excerpt for account-purge — Auth boundary</t>
        </is>
      </c>
      <c r="J89" s="41" t="inlineStr">
        <is>
          <t>NOT RUN</t>
        </is>
      </c>
      <c r="K89" s="36" t="inlineStr">
        <is>
          <t>Claude (pending env)</t>
        </is>
      </c>
      <c r="L89" s="36" t="n"/>
      <c r="M89" s="36" t="n"/>
      <c r="N89" s="36" t="inlineStr">
        <is>
          <t>[T4 | Phase 4 | Claude (pending env)] Playwright/authenticated-API against running env. awaiting running staging URL + test accounts</t>
        </is>
      </c>
    </row>
    <row r="90" ht="53.7" customHeight="1" s="29">
      <c r="A90" s="37" t="inlineStr">
        <is>
          <t>MX-EDGE-0088</t>
        </is>
      </c>
      <c r="B90" s="54" t="inlineStr">
        <is>
          <t>P1</t>
        </is>
      </c>
      <c r="C90" s="37" t="inlineStr">
        <is>
          <t>Backend/Edge Fn</t>
        </is>
      </c>
      <c r="D90" s="37" t="inlineStr">
        <is>
          <t>account-purge — Failure path is graceful</t>
        </is>
      </c>
      <c r="E90" s="37" t="inlineStr">
        <is>
          <t>Confirms the 'Failure path is graceful' property of the 'account-purge' Edge Function. With ~90 functions across two hosts, observability and auth on EACH is what makes incidents debuggable and safe; the 17-day silent-cron outage happened because a function failed unseen.</t>
        </is>
      </c>
      <c r="F90" s="37" t="inlineStr">
        <is>
          <t>Ability to invoke the function (API client) and read its logs on the serving host.</t>
        </is>
      </c>
      <c r="G90" s="37" t="inlineStr">
        <is>
          <t>1) Force its downstream dependency to fail (bad input or simulated dependency error) and observe. (function: account-purge).</t>
        </is>
      </c>
      <c r="H90" s="37" t="inlineStr">
        <is>
          <t>Fails gracefully with a structured error and a failure log; no crash, no partial write, no silent success.</t>
        </is>
      </c>
      <c r="I90" s="37" t="inlineStr">
        <is>
          <t>Response + log excerpt for account-purge — Failure path is graceful</t>
        </is>
      </c>
      <c r="J90" s="43" t="inlineStr">
        <is>
          <t>NOT RUN</t>
        </is>
      </c>
      <c r="K90" s="37" t="inlineStr">
        <is>
          <t>Claude (pending env)</t>
        </is>
      </c>
      <c r="L90" s="37" t="n"/>
      <c r="M90" s="37" t="n"/>
      <c r="N90" s="37" t="inlineStr">
        <is>
          <t>[T4 | Phase 4 | Claude (pending env)] Playwright/authenticated-API against running env. awaiting running staging URL + test accounts</t>
        </is>
      </c>
    </row>
    <row r="91" ht="53.7" customHeight="1" s="29">
      <c r="A91" s="36" t="inlineStr">
        <is>
          <t>MX-EDGE-0089</t>
        </is>
      </c>
      <c r="B91" s="54" t="inlineStr">
        <is>
          <t>P1</t>
        </is>
      </c>
      <c r="C91" s="36" t="inlineStr">
        <is>
          <t>Backend/Edge Fn</t>
        </is>
      </c>
      <c r="D91" s="36" t="inlineStr">
        <is>
          <t>data-export — Happy-path smoke</t>
        </is>
      </c>
      <c r="E91" s="36" t="inlineStr">
        <is>
          <t>Confirms the 'Happy-path smoke' property of the 'data-export' Edge Function. With ~90 functions across two hosts, observability and auth on EACH is what makes incidents debuggable and safe; the 17-day silent-cron outage happened because a function failed unseen.</t>
        </is>
      </c>
      <c r="F91" s="36" t="inlineStr">
        <is>
          <t>Ability to invoke the function (API client) and read its logs on the serving host.</t>
        </is>
      </c>
      <c r="G91" s="36" t="inlineStr">
        <is>
          <t>1) Invoke the function with a valid request and confirm a correct 2xx response and expected side effect. (function: data-export).</t>
        </is>
      </c>
      <c r="H91" s="36" t="inlineStr">
        <is>
          <t>Returns success; performs its intended effect; no error.</t>
        </is>
      </c>
      <c r="I91" s="36" t="inlineStr">
        <is>
          <t>Response + log excerpt for data-export — Happy-path smoke</t>
        </is>
      </c>
      <c r="J91" s="41" t="inlineStr">
        <is>
          <t>NOT RUN</t>
        </is>
      </c>
      <c r="K91" s="36" t="inlineStr">
        <is>
          <t>Claude (pending env)</t>
        </is>
      </c>
      <c r="L91" s="36" t="n"/>
      <c r="M91" s="36" t="n"/>
      <c r="N91" s="36" t="inlineStr">
        <is>
          <t>[T4 | Phase 4 | Claude (pending env)] Playwright/authenticated-API against running env. awaiting running staging URL + test accounts</t>
        </is>
      </c>
    </row>
    <row r="92" ht="53.7" customHeight="1" s="29">
      <c r="A92" s="37" t="inlineStr">
        <is>
          <t>MX-EDGE-0090</t>
        </is>
      </c>
      <c r="B92" s="54" t="inlineStr">
        <is>
          <t>P1</t>
        </is>
      </c>
      <c r="C92" s="37" t="inlineStr">
        <is>
          <t>Backend/Edge Fn</t>
        </is>
      </c>
      <c r="D92" s="37" t="inlineStr">
        <is>
          <t>data-export — Structured start/success/failure logs + correlation ID</t>
        </is>
      </c>
      <c r="E92" s="37" t="inlineStr">
        <is>
          <t>Confirms the 'Structured start/success/failure logs + correlation ID' property of the 'data-export' Edge Function. With ~90 functions across two hosts, observability and auth on EACH is what makes incidents debuggable and safe; the 17-day silent-cron outage happened because a function failed unseen.</t>
        </is>
      </c>
      <c r="F92" s="37" t="inlineStr">
        <is>
          <t>Ability to invoke the function (API client) and read its logs on the serving host.</t>
        </is>
      </c>
      <c r="G92" s="37" t="inlineStr">
        <is>
          <t>1) Invoke it and inspect logs; confirm a start log, a terminal (success/failure) log, and a correlation ID that ties them together, plus a host tag. (function: data-export).</t>
        </is>
      </c>
      <c r="H92" s="37" t="inlineStr">
        <is>
          <t>Start + terminal logs present, sharing a correlation ID and host tag.</t>
        </is>
      </c>
      <c r="I92" s="37" t="inlineStr">
        <is>
          <t>Response + log excerpt for data-export — Structured start/success/failure logs + correlation ID</t>
        </is>
      </c>
      <c r="J92" s="43" t="inlineStr">
        <is>
          <t>NOT RUN</t>
        </is>
      </c>
      <c r="K92" s="37" t="inlineStr">
        <is>
          <t>Claude (pending env)</t>
        </is>
      </c>
      <c r="L92" s="37" t="n"/>
      <c r="M92" s="37" t="n"/>
      <c r="N92" s="37" t="inlineStr">
        <is>
          <t>[T4 | Phase 4 | Claude (pending env)] Playwright/authenticated-API against running env. awaiting running staging URL + test accounts</t>
        </is>
      </c>
    </row>
    <row r="93" ht="53.7" customHeight="1" s="29">
      <c r="A93" s="36" t="inlineStr">
        <is>
          <t>MX-EDGE-0091</t>
        </is>
      </c>
      <c r="B93" s="53" t="inlineStr">
        <is>
          <t>P0</t>
        </is>
      </c>
      <c r="C93" s="36" t="inlineStr">
        <is>
          <t>Backend/Edge Fn</t>
        </is>
      </c>
      <c r="D93" s="36" t="inlineStr">
        <is>
          <t>data-export — Auth boundary</t>
        </is>
      </c>
      <c r="E93" s="36" t="inlineStr">
        <is>
          <t>Confirms the 'Auth boundary' property of the 'data-export' Edge Function. With ~90 functions across two hosts, observability and auth on EACH is what makes incidents debuggable and safe; the 17-day silent-cron outage happened because a function failed unseen.</t>
        </is>
      </c>
      <c r="F93" s="36" t="inlineStr">
        <is>
          <t>Ability to invoke the function (API client) and read its logs on the serving host.</t>
        </is>
      </c>
      <c r="G93" s="36" t="inlineStr">
        <is>
          <t>1) Invoke it without a valid session / with the wrong role (where the function is not deliberately public). (function: data-export).</t>
        </is>
      </c>
      <c r="H93" s="36" t="inlineStr">
        <is>
          <t>Rejects unauthorised callers with a structured error (or is deliberately public with an internal auth check).</t>
        </is>
      </c>
      <c r="I93" s="36" t="inlineStr">
        <is>
          <t>Response + log excerpt for data-export — Auth boundary</t>
        </is>
      </c>
      <c r="J93" s="41" t="inlineStr">
        <is>
          <t>NOT RUN</t>
        </is>
      </c>
      <c r="K93" s="36" t="inlineStr">
        <is>
          <t>Claude (pending env)</t>
        </is>
      </c>
      <c r="L93" s="36" t="n"/>
      <c r="M93" s="36" t="n"/>
      <c r="N93" s="36" t="inlineStr">
        <is>
          <t>[T4 | Phase 4 | Claude (pending env)] Playwright/authenticated-API against running env. awaiting running staging URL + test accounts</t>
        </is>
      </c>
    </row>
    <row r="94" ht="53.7" customHeight="1" s="29">
      <c r="A94" s="37" t="inlineStr">
        <is>
          <t>MX-EDGE-0092</t>
        </is>
      </c>
      <c r="B94" s="54" t="inlineStr">
        <is>
          <t>P1</t>
        </is>
      </c>
      <c r="C94" s="37" t="inlineStr">
        <is>
          <t>Backend/Edge Fn</t>
        </is>
      </c>
      <c r="D94" s="37" t="inlineStr">
        <is>
          <t>data-export — Failure path is graceful</t>
        </is>
      </c>
      <c r="E94" s="37" t="inlineStr">
        <is>
          <t>Confirms the 'Failure path is graceful' property of the 'data-export' Edge Function. With ~90 functions across two hosts, observability and auth on EACH is what makes incidents debuggable and safe; the 17-day silent-cron outage happened because a function failed unseen.</t>
        </is>
      </c>
      <c r="F94" s="37" t="inlineStr">
        <is>
          <t>Ability to invoke the function (API client) and read its logs on the serving host.</t>
        </is>
      </c>
      <c r="G94" s="37" t="inlineStr">
        <is>
          <t>1) Force its downstream dependency to fail (bad input or simulated dependency error) and observe. (function: data-export).</t>
        </is>
      </c>
      <c r="H94" s="37" t="inlineStr">
        <is>
          <t>Fails gracefully with a structured error and a failure log; no crash, no partial write, no silent success.</t>
        </is>
      </c>
      <c r="I94" s="37" t="inlineStr">
        <is>
          <t>Response + log excerpt for data-export — Failure path is graceful</t>
        </is>
      </c>
      <c r="J94" s="43" t="inlineStr">
        <is>
          <t>NOT RUN</t>
        </is>
      </c>
      <c r="K94" s="37" t="inlineStr">
        <is>
          <t>Claude (pending env)</t>
        </is>
      </c>
      <c r="L94" s="37" t="n"/>
      <c r="M94" s="37" t="n"/>
      <c r="N94" s="37" t="inlineStr">
        <is>
          <t>[T4 | Phase 4 | Claude (pending env)] Playwright/authenticated-API against running env. awaiting running staging URL + test accounts</t>
        </is>
      </c>
    </row>
    <row r="95" ht="53.7" customHeight="1" s="29">
      <c r="A95" s="36" t="inlineStr">
        <is>
          <t>MX-EDGE-0093</t>
        </is>
      </c>
      <c r="B95" s="54" t="inlineStr">
        <is>
          <t>P1</t>
        </is>
      </c>
      <c r="C95" s="36" t="inlineStr">
        <is>
          <t>Backend/Edge Fn</t>
        </is>
      </c>
      <c r="D95" s="36" t="inlineStr">
        <is>
          <t>teacher-dashboard — Happy-path smoke</t>
        </is>
      </c>
      <c r="E95" s="36" t="inlineStr">
        <is>
          <t>Confirms the 'Happy-path smoke' property of the 'teacher-dashboard' Edge Function. With ~90 functions across two hosts, observability and auth on EACH is what makes incidents debuggable and safe; the 17-day silent-cron outage happened because a function failed unseen.</t>
        </is>
      </c>
      <c r="F95" s="36" t="inlineStr">
        <is>
          <t>Ability to invoke the function (API client) and read its logs on the serving host.</t>
        </is>
      </c>
      <c r="G95" s="36" t="inlineStr">
        <is>
          <t>1) Invoke the function with a valid request and confirm a correct 2xx response and expected side effect. (function: teacher-dashboard).</t>
        </is>
      </c>
      <c r="H95" s="36" t="inlineStr">
        <is>
          <t>Returns success; performs its intended effect; no error.</t>
        </is>
      </c>
      <c r="I95" s="36" t="inlineStr">
        <is>
          <t>Response + log excerpt for teacher-dashboard — Happy-path smoke</t>
        </is>
      </c>
      <c r="J95" s="41" t="inlineStr">
        <is>
          <t>NOT RUN</t>
        </is>
      </c>
      <c r="K95" s="36" t="inlineStr">
        <is>
          <t>Claude (pending env)</t>
        </is>
      </c>
      <c r="L95" s="36" t="n"/>
      <c r="M95" s="36" t="n"/>
      <c r="N95" s="36" t="inlineStr">
        <is>
          <t>[T4 | Phase 4 | Claude (pending env)] Playwright/authenticated-API against running env. awaiting running staging URL + test accounts</t>
        </is>
      </c>
    </row>
    <row r="96" ht="53.7" customHeight="1" s="29">
      <c r="A96" s="37" t="inlineStr">
        <is>
          <t>MX-EDGE-0094</t>
        </is>
      </c>
      <c r="B96" s="54" t="inlineStr">
        <is>
          <t>P1</t>
        </is>
      </c>
      <c r="C96" s="37" t="inlineStr">
        <is>
          <t>Backend/Edge Fn</t>
        </is>
      </c>
      <c r="D96" s="37" t="inlineStr">
        <is>
          <t>teacher-dashboard — Structured start/success/failure logs + correlation ID</t>
        </is>
      </c>
      <c r="E96" s="37" t="inlineStr">
        <is>
          <t>Confirms the 'Structured start/success/failure logs + correlation ID' property of the 'teacher-dashboard' Edge Function. With ~90 functions across two hosts, observability and auth on EACH is what makes incidents debuggable and safe; the 17-day silent-cron outage happened because a function failed unseen.</t>
        </is>
      </c>
      <c r="F96" s="37" t="inlineStr">
        <is>
          <t>Ability to invoke the function (API client) and read its logs on the serving host.</t>
        </is>
      </c>
      <c r="G96" s="37" t="inlineStr">
        <is>
          <t>1) Invoke it and inspect logs; confirm a start log, a terminal (success/failure) log, and a correlation ID that ties them together, plus a host tag. (function: teacher-dashboard).</t>
        </is>
      </c>
      <c r="H96" s="37" t="inlineStr">
        <is>
          <t>Start + terminal logs present, sharing a correlation ID and host tag.</t>
        </is>
      </c>
      <c r="I96" s="37" t="inlineStr">
        <is>
          <t>Response + log excerpt for teacher-dashboard — Structured start/success/failure logs + correlation ID</t>
        </is>
      </c>
      <c r="J96" s="43" t="inlineStr">
        <is>
          <t>NOT RUN</t>
        </is>
      </c>
      <c r="K96" s="37" t="inlineStr">
        <is>
          <t>Claude (pending env)</t>
        </is>
      </c>
      <c r="L96" s="37" t="n"/>
      <c r="M96" s="37" t="n"/>
      <c r="N96" s="37" t="inlineStr">
        <is>
          <t>[T4 | Phase 4 | Claude (pending env)] Playwright/authenticated-API against running env. awaiting running staging URL + test accounts</t>
        </is>
      </c>
    </row>
    <row r="97" ht="53.7" customHeight="1" s="29">
      <c r="A97" s="36" t="inlineStr">
        <is>
          <t>MX-EDGE-0095</t>
        </is>
      </c>
      <c r="B97" s="53" t="inlineStr">
        <is>
          <t>P0</t>
        </is>
      </c>
      <c r="C97" s="36" t="inlineStr">
        <is>
          <t>Backend/Edge Fn</t>
        </is>
      </c>
      <c r="D97" s="36" t="inlineStr">
        <is>
          <t>teacher-dashboard — Auth boundary</t>
        </is>
      </c>
      <c r="E97" s="36" t="inlineStr">
        <is>
          <t>Confirms the 'Auth boundary' property of the 'teacher-dashboard' Edge Function. With ~90 functions across two hosts, observability and auth on EACH is what makes incidents debuggable and safe; the 17-day silent-cron outage happened because a function failed unseen.</t>
        </is>
      </c>
      <c r="F97" s="36" t="inlineStr">
        <is>
          <t>Ability to invoke the function (API client) and read its logs on the serving host.</t>
        </is>
      </c>
      <c r="G97" s="36" t="inlineStr">
        <is>
          <t>1) Invoke it without a valid session / with the wrong role (where the function is not deliberately public). (function: teacher-dashboard).</t>
        </is>
      </c>
      <c r="H97" s="36" t="inlineStr">
        <is>
          <t>Rejects unauthorised callers with a structured error (or is deliberately public with an internal auth check).</t>
        </is>
      </c>
      <c r="I97" s="36" t="inlineStr">
        <is>
          <t>Response + log excerpt for teacher-dashboard — Auth boundary</t>
        </is>
      </c>
      <c r="J97" s="41" t="inlineStr">
        <is>
          <t>NOT RUN</t>
        </is>
      </c>
      <c r="K97" s="36" t="inlineStr">
        <is>
          <t>Claude (pending env)</t>
        </is>
      </c>
      <c r="L97" s="36" t="n"/>
      <c r="M97" s="36" t="n"/>
      <c r="N97" s="36" t="inlineStr">
        <is>
          <t>[T4 | Phase 4 | Claude (pending env)] Playwright/authenticated-API against running env. awaiting running staging URL + test accounts</t>
        </is>
      </c>
    </row>
    <row r="98" ht="53.7" customHeight="1" s="29">
      <c r="A98" s="37" t="inlineStr">
        <is>
          <t>MX-EDGE-0096</t>
        </is>
      </c>
      <c r="B98" s="54" t="inlineStr">
        <is>
          <t>P1</t>
        </is>
      </c>
      <c r="C98" s="37" t="inlineStr">
        <is>
          <t>Backend/Edge Fn</t>
        </is>
      </c>
      <c r="D98" s="37" t="inlineStr">
        <is>
          <t>teacher-dashboard — Failure path is graceful</t>
        </is>
      </c>
      <c r="E98" s="37" t="inlineStr">
        <is>
          <t>Confirms the 'Failure path is graceful' property of the 'teacher-dashboard' Edge Function. With ~90 functions across two hosts, observability and auth on EACH is what makes incidents debuggable and safe; the 17-day silent-cron outage happened because a function failed unseen.</t>
        </is>
      </c>
      <c r="F98" s="37" t="inlineStr">
        <is>
          <t>Ability to invoke the function (API client) and read its logs on the serving host.</t>
        </is>
      </c>
      <c r="G98" s="37" t="inlineStr">
        <is>
          <t>1) Force its downstream dependency to fail (bad input or simulated dependency error) and observe. (function: teacher-dashboard).</t>
        </is>
      </c>
      <c r="H98" s="37" t="inlineStr">
        <is>
          <t>Fails gracefully with a structured error and a failure log; no crash, no partial write, no silent success.</t>
        </is>
      </c>
      <c r="I98" s="37" t="inlineStr">
        <is>
          <t>Response + log excerpt for teacher-dashboard — Failure path is graceful</t>
        </is>
      </c>
      <c r="J98" s="43" t="inlineStr">
        <is>
          <t>NOT RUN</t>
        </is>
      </c>
      <c r="K98" s="37" t="inlineStr">
        <is>
          <t>Claude (pending env)</t>
        </is>
      </c>
      <c r="L98" s="37" t="n"/>
      <c r="M98" s="37" t="n"/>
      <c r="N98" s="37" t="inlineStr">
        <is>
          <t>[T4 | Phase 4 | Claude (pending env)] Playwright/authenticated-API against running env. awaiting running staging URL + test accounts</t>
        </is>
      </c>
    </row>
    <row r="99" ht="53.7" customHeight="1" s="29">
      <c r="A99" s="36" t="inlineStr">
        <is>
          <t>MX-EDGE-0097</t>
        </is>
      </c>
      <c r="B99" s="54" t="inlineStr">
        <is>
          <t>P1</t>
        </is>
      </c>
      <c r="C99" s="36" t="inlineStr">
        <is>
          <t>Backend/Edge Fn</t>
        </is>
      </c>
      <c r="D99" s="36" t="inlineStr">
        <is>
          <t>teacher-remediation — Happy-path smoke</t>
        </is>
      </c>
      <c r="E99" s="36" t="inlineStr">
        <is>
          <t>Confirms the 'Happy-path smoke' property of the 'teacher-remediation' Edge Function. With ~90 functions across two hosts, observability and auth on EACH is what makes incidents debuggable and safe; the 17-day silent-cron outage happened because a function failed unseen.</t>
        </is>
      </c>
      <c r="F99" s="36" t="inlineStr">
        <is>
          <t>Ability to invoke the function (API client) and read its logs on the serving host.</t>
        </is>
      </c>
      <c r="G99" s="36" t="inlineStr">
        <is>
          <t>1) Invoke the function with a valid request and confirm a correct 2xx response and expected side effect. (function: teacher-remediation).</t>
        </is>
      </c>
      <c r="H99" s="36" t="inlineStr">
        <is>
          <t>Returns success; performs its intended effect; no error.</t>
        </is>
      </c>
      <c r="I99" s="36" t="inlineStr">
        <is>
          <t>Response + log excerpt for teacher-remediation — Happy-path smoke</t>
        </is>
      </c>
      <c r="J99" s="41" t="inlineStr">
        <is>
          <t>NOT RUN</t>
        </is>
      </c>
      <c r="K99" s="36" t="inlineStr">
        <is>
          <t>Claude (pending env)</t>
        </is>
      </c>
      <c r="L99" s="36" t="n"/>
      <c r="M99" s="36" t="n"/>
      <c r="N99" s="36" t="inlineStr">
        <is>
          <t>[T4 | Phase 4 | Claude (pending env)] Playwright/authenticated-API against running env. awaiting running staging URL + test accounts</t>
        </is>
      </c>
    </row>
    <row r="100" ht="53.7" customHeight="1" s="29">
      <c r="A100" s="37" t="inlineStr">
        <is>
          <t>MX-EDGE-0098</t>
        </is>
      </c>
      <c r="B100" s="54" t="inlineStr">
        <is>
          <t>P1</t>
        </is>
      </c>
      <c r="C100" s="37" t="inlineStr">
        <is>
          <t>Backend/Edge Fn</t>
        </is>
      </c>
      <c r="D100" s="37" t="inlineStr">
        <is>
          <t>teacher-remediation — Structured start/success/failure logs + correlation ID</t>
        </is>
      </c>
      <c r="E100" s="37" t="inlineStr">
        <is>
          <t>Confirms the 'Structured start/success/failure logs + correlation ID' property of the 'teacher-remediation' Edge Function. With ~90 functions across two hosts, observability and auth on EACH is what makes incidents debuggable and safe; the 17-day silent-cron outage happened because a function failed unseen.</t>
        </is>
      </c>
      <c r="F100" s="37" t="inlineStr">
        <is>
          <t>Ability to invoke the function (API client) and read its logs on the serving host.</t>
        </is>
      </c>
      <c r="G100" s="37" t="inlineStr">
        <is>
          <t>1) Invoke it and inspect logs; confirm a start log, a terminal (success/failure) log, and a correlation ID that ties them together, plus a host tag. (function: teacher-remediation).</t>
        </is>
      </c>
      <c r="H100" s="37" t="inlineStr">
        <is>
          <t>Start + terminal logs present, sharing a correlation ID and host tag.</t>
        </is>
      </c>
      <c r="I100" s="37" t="inlineStr">
        <is>
          <t>Response + log excerpt for teacher-remediation — Structured start/success/failure logs + correlation ID</t>
        </is>
      </c>
      <c r="J100" s="43" t="inlineStr">
        <is>
          <t>NOT RUN</t>
        </is>
      </c>
      <c r="K100" s="37" t="inlineStr">
        <is>
          <t>Claude (pending env)</t>
        </is>
      </c>
      <c r="L100" s="37" t="n"/>
      <c r="M100" s="37" t="n"/>
      <c r="N100" s="37" t="inlineStr">
        <is>
          <t>[T4 | Phase 4 | Claude (pending env)] Playwright/authenticated-API against running env. awaiting running staging URL + test accounts</t>
        </is>
      </c>
    </row>
    <row r="101" ht="53.7" customHeight="1" s="29">
      <c r="A101" s="36" t="inlineStr">
        <is>
          <t>MX-EDGE-0099</t>
        </is>
      </c>
      <c r="B101" s="53" t="inlineStr">
        <is>
          <t>P0</t>
        </is>
      </c>
      <c r="C101" s="36" t="inlineStr">
        <is>
          <t>Backend/Edge Fn</t>
        </is>
      </c>
      <c r="D101" s="36" t="inlineStr">
        <is>
          <t>teacher-remediation — Auth boundary</t>
        </is>
      </c>
      <c r="E101" s="36" t="inlineStr">
        <is>
          <t>Confirms the 'Auth boundary' property of the 'teacher-remediation' Edge Function. With ~90 functions across two hosts, observability and auth on EACH is what makes incidents debuggable and safe; the 17-day silent-cron outage happened because a function failed unseen.</t>
        </is>
      </c>
      <c r="F101" s="36" t="inlineStr">
        <is>
          <t>Ability to invoke the function (API client) and read its logs on the serving host.</t>
        </is>
      </c>
      <c r="G101" s="36" t="inlineStr">
        <is>
          <t>1) Invoke it without a valid session / with the wrong role (where the function is not deliberately public). (function: teacher-remediation).</t>
        </is>
      </c>
      <c r="H101" s="36" t="inlineStr">
        <is>
          <t>Rejects unauthorised callers with a structured error (or is deliberately public with an internal auth check).</t>
        </is>
      </c>
      <c r="I101" s="36" t="inlineStr">
        <is>
          <t>Response + log excerpt for teacher-remediation — Auth boundary</t>
        </is>
      </c>
      <c r="J101" s="41" t="inlineStr">
        <is>
          <t>NOT RUN</t>
        </is>
      </c>
      <c r="K101" s="36" t="inlineStr">
        <is>
          <t>Claude (pending env)</t>
        </is>
      </c>
      <c r="L101" s="36" t="n"/>
      <c r="M101" s="36" t="n"/>
      <c r="N101" s="36" t="inlineStr">
        <is>
          <t>[T4 | Phase 4 | Claude (pending env)] Playwright/authenticated-API against running env. awaiting running staging URL + test accounts</t>
        </is>
      </c>
    </row>
    <row r="102" ht="53.7" customHeight="1" s="29">
      <c r="A102" s="37" t="inlineStr">
        <is>
          <t>MX-EDGE-0100</t>
        </is>
      </c>
      <c r="B102" s="54" t="inlineStr">
        <is>
          <t>P1</t>
        </is>
      </c>
      <c r="C102" s="37" t="inlineStr">
        <is>
          <t>Backend/Edge Fn</t>
        </is>
      </c>
      <c r="D102" s="37" t="inlineStr">
        <is>
          <t>teacher-remediation — Failure path is graceful</t>
        </is>
      </c>
      <c r="E102" s="37" t="inlineStr">
        <is>
          <t>Confirms the 'Failure path is graceful' property of the 'teacher-remediation' Edge Function. With ~90 functions across two hosts, observability and auth on EACH is what makes incidents debuggable and safe; the 17-day silent-cron outage happened because a function failed unseen.</t>
        </is>
      </c>
      <c r="F102" s="37" t="inlineStr">
        <is>
          <t>Ability to invoke the function (API client) and read its logs on the serving host.</t>
        </is>
      </c>
      <c r="G102" s="37" t="inlineStr">
        <is>
          <t>1) Force its downstream dependency to fail (bad input or simulated dependency error) and observe. (function: teacher-remediation).</t>
        </is>
      </c>
      <c r="H102" s="37" t="inlineStr">
        <is>
          <t>Fails gracefully with a structured error and a failure log; no crash, no partial write, no silent success.</t>
        </is>
      </c>
      <c r="I102" s="37" t="inlineStr">
        <is>
          <t>Response + log excerpt for teacher-remediation — Failure path is graceful</t>
        </is>
      </c>
      <c r="J102" s="43" t="inlineStr">
        <is>
          <t>NOT RUN</t>
        </is>
      </c>
      <c r="K102" s="37" t="inlineStr">
        <is>
          <t>Claude (pending env)</t>
        </is>
      </c>
      <c r="L102" s="37" t="n"/>
      <c r="M102" s="37" t="n"/>
      <c r="N102" s="37" t="inlineStr">
        <is>
          <t>[T4 | Phase 4 | Claude (pending env)] Playwright/authenticated-API against running env. awaiting running staging URL + test accounts</t>
        </is>
      </c>
    </row>
    <row r="103" ht="53.7" customHeight="1" s="29">
      <c r="A103" s="36" t="inlineStr">
        <is>
          <t>MX-EDGE-0101</t>
        </is>
      </c>
      <c r="B103" s="54" t="inlineStr">
        <is>
          <t>P1</t>
        </is>
      </c>
      <c r="C103" s="36" t="inlineStr">
        <is>
          <t>Backend/Edge Fn</t>
        </is>
      </c>
      <c r="D103" s="36" t="inlineStr">
        <is>
          <t>school-onboarding — Happy-path smoke</t>
        </is>
      </c>
      <c r="E103" s="36" t="inlineStr">
        <is>
          <t>Confirms the 'Happy-path smoke' property of the 'school-onboarding' Edge Function. With ~90 functions across two hosts, observability and auth on EACH is what makes incidents debuggable and safe; the 17-day silent-cron outage happened because a function failed unseen.</t>
        </is>
      </c>
      <c r="F103" s="36" t="inlineStr">
        <is>
          <t>Ability to invoke the function (API client) and read its logs on the serving host.</t>
        </is>
      </c>
      <c r="G103" s="36" t="inlineStr">
        <is>
          <t>1) Invoke the function with a valid request and confirm a correct 2xx response and expected side effect. (function: school-onboarding).</t>
        </is>
      </c>
      <c r="H103" s="36" t="inlineStr">
        <is>
          <t>Returns success; performs its intended effect; no error.</t>
        </is>
      </c>
      <c r="I103" s="36" t="inlineStr">
        <is>
          <t>Response + log excerpt for school-onboarding — Happy-path smoke</t>
        </is>
      </c>
      <c r="J103" s="41" t="inlineStr">
        <is>
          <t>NOT RUN</t>
        </is>
      </c>
      <c r="K103" s="36" t="inlineStr">
        <is>
          <t>Claude (pending env)</t>
        </is>
      </c>
      <c r="L103" s="36" t="n"/>
      <c r="M103" s="36" t="n"/>
      <c r="N103" s="36" t="inlineStr">
        <is>
          <t>[T4 | Phase 4 | Claude (pending env)] Playwright/authenticated-API against running env. awaiting running staging URL + test accounts</t>
        </is>
      </c>
    </row>
    <row r="104" ht="53.7" customHeight="1" s="29">
      <c r="A104" s="37" t="inlineStr">
        <is>
          <t>MX-EDGE-0102</t>
        </is>
      </c>
      <c r="B104" s="54" t="inlineStr">
        <is>
          <t>P1</t>
        </is>
      </c>
      <c r="C104" s="37" t="inlineStr">
        <is>
          <t>Backend/Edge Fn</t>
        </is>
      </c>
      <c r="D104" s="37" t="inlineStr">
        <is>
          <t>school-onboarding — Structured start/success/failure logs + correlation ID</t>
        </is>
      </c>
      <c r="E104" s="37" t="inlineStr">
        <is>
          <t>Confirms the 'Structured start/success/failure logs + correlation ID' property of the 'school-onboarding' Edge Function. With ~90 functions across two hosts, observability and auth on EACH is what makes incidents debuggable and safe; the 17-day silent-cron outage happened because a function failed unseen.</t>
        </is>
      </c>
      <c r="F104" s="37" t="inlineStr">
        <is>
          <t>Ability to invoke the function (API client) and read its logs on the serving host.</t>
        </is>
      </c>
      <c r="G104" s="37" t="inlineStr">
        <is>
          <t>1) Invoke it and inspect logs; confirm a start log, a terminal (success/failure) log, and a correlation ID that ties them together, plus a host tag. (function: school-onboarding).</t>
        </is>
      </c>
      <c r="H104" s="37" t="inlineStr">
        <is>
          <t>Start + terminal logs present, sharing a correlation ID and host tag.</t>
        </is>
      </c>
      <c r="I104" s="37" t="inlineStr">
        <is>
          <t>Response + log excerpt for school-onboarding — Structured start/success/failure logs + correlation ID</t>
        </is>
      </c>
      <c r="J104" s="43" t="inlineStr">
        <is>
          <t>NOT RUN</t>
        </is>
      </c>
      <c r="K104" s="37" t="inlineStr">
        <is>
          <t>Claude (pending env)</t>
        </is>
      </c>
      <c r="L104" s="37" t="n"/>
      <c r="M104" s="37" t="n"/>
      <c r="N104" s="37" t="inlineStr">
        <is>
          <t>[T4 | Phase 4 | Claude (pending env)] Playwright/authenticated-API against running env. awaiting running staging URL + test accounts</t>
        </is>
      </c>
    </row>
    <row r="105" ht="53.7" customHeight="1" s="29">
      <c r="A105" s="36" t="inlineStr">
        <is>
          <t>MX-EDGE-0103</t>
        </is>
      </c>
      <c r="B105" s="53" t="inlineStr">
        <is>
          <t>P0</t>
        </is>
      </c>
      <c r="C105" s="36" t="inlineStr">
        <is>
          <t>Backend/Edge Fn</t>
        </is>
      </c>
      <c r="D105" s="36" t="inlineStr">
        <is>
          <t>school-onboarding — Auth boundary</t>
        </is>
      </c>
      <c r="E105" s="36" t="inlineStr">
        <is>
          <t>Confirms the 'Auth boundary' property of the 'school-onboarding' Edge Function. With ~90 functions across two hosts, observability and auth on EACH is what makes incidents debuggable and safe; the 17-day silent-cron outage happened because a function failed unseen.</t>
        </is>
      </c>
      <c r="F105" s="36" t="inlineStr">
        <is>
          <t>Ability to invoke the function (API client) and read its logs on the serving host.</t>
        </is>
      </c>
      <c r="G105" s="36" t="inlineStr">
        <is>
          <t>1) Invoke it without a valid session / with the wrong role (where the function is not deliberately public). (function: school-onboarding).</t>
        </is>
      </c>
      <c r="H105" s="36" t="inlineStr">
        <is>
          <t>Rejects unauthorised callers with a structured error (or is deliberately public with an internal auth check).</t>
        </is>
      </c>
      <c r="I105" s="36" t="inlineStr">
        <is>
          <t>Response + log excerpt for school-onboarding — Auth boundary</t>
        </is>
      </c>
      <c r="J105" s="41" t="inlineStr">
        <is>
          <t>NOT RUN</t>
        </is>
      </c>
      <c r="K105" s="36" t="inlineStr">
        <is>
          <t>Claude (pending env)</t>
        </is>
      </c>
      <c r="L105" s="36" t="n"/>
      <c r="M105" s="36" t="n"/>
      <c r="N105" s="36" t="inlineStr">
        <is>
          <t>[T4 | Phase 4 | Claude (pending env)] Playwright/authenticated-API against running env. awaiting running staging URL + test accounts</t>
        </is>
      </c>
    </row>
    <row r="106" ht="53.7" customHeight="1" s="29">
      <c r="A106" s="37" t="inlineStr">
        <is>
          <t>MX-EDGE-0104</t>
        </is>
      </c>
      <c r="B106" s="54" t="inlineStr">
        <is>
          <t>P1</t>
        </is>
      </c>
      <c r="C106" s="37" t="inlineStr">
        <is>
          <t>Backend/Edge Fn</t>
        </is>
      </c>
      <c r="D106" s="37" t="inlineStr">
        <is>
          <t>school-onboarding — Failure path is graceful</t>
        </is>
      </c>
      <c r="E106" s="37" t="inlineStr">
        <is>
          <t>Confirms the 'Failure path is graceful' property of the 'school-onboarding' Edge Function. With ~90 functions across two hosts, observability and auth on EACH is what makes incidents debuggable and safe; the 17-day silent-cron outage happened because a function failed unseen.</t>
        </is>
      </c>
      <c r="F106" s="37" t="inlineStr">
        <is>
          <t>Ability to invoke the function (API client) and read its logs on the serving host.</t>
        </is>
      </c>
      <c r="G106" s="37" t="inlineStr">
        <is>
          <t>1) Force its downstream dependency to fail (bad input or simulated dependency error) and observe. (function: school-onboarding).</t>
        </is>
      </c>
      <c r="H106" s="37" t="inlineStr">
        <is>
          <t>Fails gracefully with a structured error and a failure log; no crash, no partial write, no silent success.</t>
        </is>
      </c>
      <c r="I106" s="37" t="inlineStr">
        <is>
          <t>Response + log excerpt for school-onboarding — Failure path is graceful</t>
        </is>
      </c>
      <c r="J106" s="43" t="inlineStr">
        <is>
          <t>NOT RUN</t>
        </is>
      </c>
      <c r="K106" s="37" t="inlineStr">
        <is>
          <t>Claude (pending env)</t>
        </is>
      </c>
      <c r="L106" s="37" t="n"/>
      <c r="M106" s="37" t="n"/>
      <c r="N106" s="37" t="inlineStr">
        <is>
          <t>[T4 | Phase 4 | Claude (pending env)] Playwright/authenticated-API against running env. awaiting running staging URL + test accounts</t>
        </is>
      </c>
    </row>
    <row r="107" ht="53.7" customHeight="1" s="29">
      <c r="A107" s="36" t="inlineStr">
        <is>
          <t>MX-EDGE-0105</t>
        </is>
      </c>
      <c r="B107" s="54" t="inlineStr">
        <is>
          <t>P1</t>
        </is>
      </c>
      <c r="C107" s="36" t="inlineStr">
        <is>
          <t>Backend/Edge Fn</t>
        </is>
      </c>
      <c r="D107" s="36" t="inlineStr">
        <is>
          <t>assert-seat-capacity — Happy-path smoke</t>
        </is>
      </c>
      <c r="E107" s="36" t="inlineStr">
        <is>
          <t>Confirms the 'Happy-path smoke' property of the 'assert-seat-capacity' Edge Function. With ~90 functions across two hosts, observability and auth on EACH is what makes incidents debuggable and safe; the 17-day silent-cron outage happened because a function failed unseen.</t>
        </is>
      </c>
      <c r="F107" s="36" t="inlineStr">
        <is>
          <t>Ability to invoke the function (API client) and read its logs on the serving host.</t>
        </is>
      </c>
      <c r="G107" s="36" t="inlineStr">
        <is>
          <t>1) Invoke the function with a valid request and confirm a correct 2xx response and expected side effect. (function: assert-seat-capacity).</t>
        </is>
      </c>
      <c r="H107" s="36" t="inlineStr">
        <is>
          <t>Returns success; performs its intended effect; no error.</t>
        </is>
      </c>
      <c r="I107" s="36" t="inlineStr">
        <is>
          <t>Response + log excerpt for assert-seat-capacity — Happy-path smoke</t>
        </is>
      </c>
      <c r="J107" s="41" t="inlineStr">
        <is>
          <t>NOT RUN</t>
        </is>
      </c>
      <c r="K107" s="36" t="inlineStr">
        <is>
          <t>Claude (pending env)</t>
        </is>
      </c>
      <c r="L107" s="36" t="n"/>
      <c r="M107" s="36" t="n"/>
      <c r="N107" s="36" t="inlineStr">
        <is>
          <t>[T4 | Phase 4 | Claude (pending env)] Playwright/authenticated-API against running env. awaiting running staging URL + test accounts</t>
        </is>
      </c>
    </row>
    <row r="108" ht="53.7" customHeight="1" s="29">
      <c r="A108" s="37" t="inlineStr">
        <is>
          <t>MX-EDGE-0106</t>
        </is>
      </c>
      <c r="B108" s="54" t="inlineStr">
        <is>
          <t>P1</t>
        </is>
      </c>
      <c r="C108" s="37" t="inlineStr">
        <is>
          <t>Backend/Edge Fn</t>
        </is>
      </c>
      <c r="D108" s="37" t="inlineStr">
        <is>
          <t>assert-seat-capacity — Structured start/success/failure logs + correlation ID</t>
        </is>
      </c>
      <c r="E108" s="37" t="inlineStr">
        <is>
          <t>Confirms the 'Structured start/success/failure logs + correlation ID' property of the 'assert-seat-capacity' Edge Function. With ~90 functions across two hosts, observability and auth on EACH is what makes incidents debuggable and safe; the 17-day silent-cron outage happened because a function failed unseen.</t>
        </is>
      </c>
      <c r="F108" s="37" t="inlineStr">
        <is>
          <t>Ability to invoke the function (API client) and read its logs on the serving host.</t>
        </is>
      </c>
      <c r="G108" s="37" t="inlineStr">
        <is>
          <t>1) Invoke it and inspect logs; confirm a start log, a terminal (success/failure) log, and a correlation ID that ties them together, plus a host tag. (function: assert-seat-capacity).</t>
        </is>
      </c>
      <c r="H108" s="37" t="inlineStr">
        <is>
          <t>Start + terminal logs present, sharing a correlation ID and host tag.</t>
        </is>
      </c>
      <c r="I108" s="37" t="inlineStr">
        <is>
          <t>Response + log excerpt for assert-seat-capacity — Structured start/success/failure logs + correlation ID</t>
        </is>
      </c>
      <c r="J108" s="43" t="inlineStr">
        <is>
          <t>NOT RUN</t>
        </is>
      </c>
      <c r="K108" s="37" t="inlineStr">
        <is>
          <t>Claude (pending env)</t>
        </is>
      </c>
      <c r="L108" s="37" t="n"/>
      <c r="M108" s="37" t="n"/>
      <c r="N108" s="37" t="inlineStr">
        <is>
          <t>[T4 | Phase 4 | Claude (pending env)] Playwright/authenticated-API against running env. awaiting running staging URL + test accounts</t>
        </is>
      </c>
    </row>
    <row r="109" ht="53.7" customHeight="1" s="29">
      <c r="A109" s="36" t="inlineStr">
        <is>
          <t>MX-EDGE-0107</t>
        </is>
      </c>
      <c r="B109" s="53" t="inlineStr">
        <is>
          <t>P0</t>
        </is>
      </c>
      <c r="C109" s="36" t="inlineStr">
        <is>
          <t>Backend/Edge Fn</t>
        </is>
      </c>
      <c r="D109" s="36" t="inlineStr">
        <is>
          <t>assert-seat-capacity — Auth boundary</t>
        </is>
      </c>
      <c r="E109" s="36" t="inlineStr">
        <is>
          <t>Confirms the 'Auth boundary' property of the 'assert-seat-capacity' Edge Function. With ~90 functions across two hosts, observability and auth on EACH is what makes incidents debuggable and safe; the 17-day silent-cron outage happened because a function failed unseen.</t>
        </is>
      </c>
      <c r="F109" s="36" t="inlineStr">
        <is>
          <t>Ability to invoke the function (API client) and read its logs on the serving host.</t>
        </is>
      </c>
      <c r="G109" s="36" t="inlineStr">
        <is>
          <t>1) Invoke it without a valid session / with the wrong role (where the function is not deliberately public). (function: assert-seat-capacity).</t>
        </is>
      </c>
      <c r="H109" s="36" t="inlineStr">
        <is>
          <t>Rejects unauthorised callers with a structured error (or is deliberately public with an internal auth check).</t>
        </is>
      </c>
      <c r="I109" s="36" t="inlineStr">
        <is>
          <t>Response + log excerpt for assert-seat-capacity — Auth boundary</t>
        </is>
      </c>
      <c r="J109" s="41" t="inlineStr">
        <is>
          <t>NOT RUN</t>
        </is>
      </c>
      <c r="K109" s="36" t="inlineStr">
        <is>
          <t>Claude (pending env)</t>
        </is>
      </c>
      <c r="L109" s="36" t="n"/>
      <c r="M109" s="36" t="n"/>
      <c r="N109" s="36" t="inlineStr">
        <is>
          <t>[T4 | Phase 4 | Claude (pending env)] Playwright/authenticated-API against running env. awaiting running staging URL + test accounts</t>
        </is>
      </c>
    </row>
    <row r="110" ht="53.7" customHeight="1" s="29">
      <c r="A110" s="37" t="inlineStr">
        <is>
          <t>MX-EDGE-0108</t>
        </is>
      </c>
      <c r="B110" s="54" t="inlineStr">
        <is>
          <t>P1</t>
        </is>
      </c>
      <c r="C110" s="37" t="inlineStr">
        <is>
          <t>Backend/Edge Fn</t>
        </is>
      </c>
      <c r="D110" s="37" t="inlineStr">
        <is>
          <t>assert-seat-capacity — Failure path is graceful</t>
        </is>
      </c>
      <c r="E110" s="37" t="inlineStr">
        <is>
          <t>Confirms the 'Failure path is graceful' property of the 'assert-seat-capacity' Edge Function. With ~90 functions across two hosts, observability and auth on EACH is what makes incidents debuggable and safe; the 17-day silent-cron outage happened because a function failed unseen.</t>
        </is>
      </c>
      <c r="F110" s="37" t="inlineStr">
        <is>
          <t>Ability to invoke the function (API client) and read its logs on the serving host.</t>
        </is>
      </c>
      <c r="G110" s="37" t="inlineStr">
        <is>
          <t>1) Force its downstream dependency to fail (bad input or simulated dependency error) and observe. (function: assert-seat-capacity).</t>
        </is>
      </c>
      <c r="H110" s="37" t="inlineStr">
        <is>
          <t>Fails gracefully with a structured error and a failure log; no crash, no partial write, no silent success.</t>
        </is>
      </c>
      <c r="I110" s="37" t="inlineStr">
        <is>
          <t>Response + log excerpt for assert-seat-capacity — Failure path is graceful</t>
        </is>
      </c>
      <c r="J110" s="43" t="inlineStr">
        <is>
          <t>NOT RUN</t>
        </is>
      </c>
      <c r="K110" s="37" t="inlineStr">
        <is>
          <t>Claude (pending env)</t>
        </is>
      </c>
      <c r="L110" s="37" t="n"/>
      <c r="M110" s="37" t="n"/>
      <c r="N110" s="37" t="inlineStr">
        <is>
          <t>[T4 | Phase 4 | Claude (pending env)] Playwright/authenticated-API against running env. awaiting running staging URL + test accounts</t>
        </is>
      </c>
    </row>
    <row r="111" ht="53.7" customHeight="1" s="29">
      <c r="A111" s="36" t="inlineStr">
        <is>
          <t>MX-EDGE-0109</t>
        </is>
      </c>
      <c r="B111" s="54" t="inlineStr">
        <is>
          <t>P1</t>
        </is>
      </c>
      <c r="C111" s="36" t="inlineStr">
        <is>
          <t>Backend/Edge Fn</t>
        </is>
      </c>
      <c r="D111" s="36" t="inlineStr">
        <is>
          <t>invoice-generator — Happy-path smoke</t>
        </is>
      </c>
      <c r="E111" s="36" t="inlineStr">
        <is>
          <t>Confirms the 'Happy-path smoke' property of the 'invoice-generator' Edge Function. With ~90 functions across two hosts, observability and auth on EACH is what makes incidents debuggable and safe; the 17-day silent-cron outage happened because a function failed unseen.</t>
        </is>
      </c>
      <c r="F111" s="36" t="inlineStr">
        <is>
          <t>Ability to invoke the function (API client) and read its logs on the serving host.</t>
        </is>
      </c>
      <c r="G111" s="36" t="inlineStr">
        <is>
          <t>1) Invoke the function with a valid request and confirm a correct 2xx response and expected side effect. (function: invoice-generator).</t>
        </is>
      </c>
      <c r="H111" s="36" t="inlineStr">
        <is>
          <t>Returns success; performs its intended effect; no error.</t>
        </is>
      </c>
      <c r="I111" s="36" t="inlineStr">
        <is>
          <t>Response + log excerpt for invoice-generator — Happy-path smoke</t>
        </is>
      </c>
      <c r="J111" s="41" t="inlineStr">
        <is>
          <t>NOT RUN</t>
        </is>
      </c>
      <c r="K111" s="36" t="inlineStr">
        <is>
          <t>Claude (pending env)</t>
        </is>
      </c>
      <c r="L111" s="36" t="n"/>
      <c r="M111" s="36" t="n"/>
      <c r="N111" s="36" t="inlineStr">
        <is>
          <t>[T4 | Phase 4 | Claude (pending env)] Playwright/authenticated-API against running env. awaiting running staging URL + test accounts</t>
        </is>
      </c>
    </row>
    <row r="112" ht="53.7" customHeight="1" s="29">
      <c r="A112" s="37" t="inlineStr">
        <is>
          <t>MX-EDGE-0110</t>
        </is>
      </c>
      <c r="B112" s="54" t="inlineStr">
        <is>
          <t>P1</t>
        </is>
      </c>
      <c r="C112" s="37" t="inlineStr">
        <is>
          <t>Backend/Edge Fn</t>
        </is>
      </c>
      <c r="D112" s="37" t="inlineStr">
        <is>
          <t>invoice-generator — Structured start/success/failure logs + correlation ID</t>
        </is>
      </c>
      <c r="E112" s="37" t="inlineStr">
        <is>
          <t>Confirms the 'Structured start/success/failure logs + correlation ID' property of the 'invoice-generator' Edge Function. With ~90 functions across two hosts, observability and auth on EACH is what makes incidents debuggable and safe; the 17-day silent-cron outage happened because a function failed unseen.</t>
        </is>
      </c>
      <c r="F112" s="37" t="inlineStr">
        <is>
          <t>Ability to invoke the function (API client) and read its logs on the serving host.</t>
        </is>
      </c>
      <c r="G112" s="37" t="inlineStr">
        <is>
          <t>1) Invoke it and inspect logs; confirm a start log, a terminal (success/failure) log, and a correlation ID that ties them together, plus a host tag. (function: invoice-generator).</t>
        </is>
      </c>
      <c r="H112" s="37" t="inlineStr">
        <is>
          <t>Start + terminal logs present, sharing a correlation ID and host tag.</t>
        </is>
      </c>
      <c r="I112" s="37" t="inlineStr">
        <is>
          <t>Response + log excerpt for invoice-generator — Structured start/success/failure logs + correlation ID</t>
        </is>
      </c>
      <c r="J112" s="43" t="inlineStr">
        <is>
          <t>NOT RUN</t>
        </is>
      </c>
      <c r="K112" s="37" t="inlineStr">
        <is>
          <t>Claude (pending env)</t>
        </is>
      </c>
      <c r="L112" s="37" t="n"/>
      <c r="M112" s="37" t="n"/>
      <c r="N112" s="37" t="inlineStr">
        <is>
          <t>[T4 | Phase 4 | Claude (pending env)] Playwright/authenticated-API against running env. awaiting running staging URL + test accounts</t>
        </is>
      </c>
    </row>
    <row r="113" ht="53.7" customHeight="1" s="29">
      <c r="A113" s="36" t="inlineStr">
        <is>
          <t>MX-EDGE-0111</t>
        </is>
      </c>
      <c r="B113" s="53" t="inlineStr">
        <is>
          <t>P0</t>
        </is>
      </c>
      <c r="C113" s="36" t="inlineStr">
        <is>
          <t>Backend/Edge Fn</t>
        </is>
      </c>
      <c r="D113" s="36" t="inlineStr">
        <is>
          <t>invoice-generator — Auth boundary</t>
        </is>
      </c>
      <c r="E113" s="36" t="inlineStr">
        <is>
          <t>Confirms the 'Auth boundary' property of the 'invoice-generator' Edge Function. With ~90 functions across two hosts, observability and auth on EACH is what makes incidents debuggable and safe; the 17-day silent-cron outage happened because a function failed unseen.</t>
        </is>
      </c>
      <c r="F113" s="36" t="inlineStr">
        <is>
          <t>Ability to invoke the function (API client) and read its logs on the serving host.</t>
        </is>
      </c>
      <c r="G113" s="36" t="inlineStr">
        <is>
          <t>1) Invoke it without a valid session / with the wrong role (where the function is not deliberately public). (function: invoice-generator).</t>
        </is>
      </c>
      <c r="H113" s="36" t="inlineStr">
        <is>
          <t>Rejects unauthorised callers with a structured error (or is deliberately public with an internal auth check).</t>
        </is>
      </c>
      <c r="I113" s="36" t="inlineStr">
        <is>
          <t>Response + log excerpt for invoice-generator — Auth boundary</t>
        </is>
      </c>
      <c r="J113" s="41" t="inlineStr">
        <is>
          <t>NOT RUN</t>
        </is>
      </c>
      <c r="K113" s="36" t="inlineStr">
        <is>
          <t>Claude (pending env)</t>
        </is>
      </c>
      <c r="L113" s="36" t="n"/>
      <c r="M113" s="36" t="n"/>
      <c r="N113" s="36" t="inlineStr">
        <is>
          <t>[T4 | Phase 4 | Claude (pending env)] Playwright/authenticated-API against running env. awaiting running staging URL + test accounts</t>
        </is>
      </c>
    </row>
    <row r="114" ht="53.7" customHeight="1" s="29">
      <c r="A114" s="37" t="inlineStr">
        <is>
          <t>MX-EDGE-0112</t>
        </is>
      </c>
      <c r="B114" s="54" t="inlineStr">
        <is>
          <t>P1</t>
        </is>
      </c>
      <c r="C114" s="37" t="inlineStr">
        <is>
          <t>Backend/Edge Fn</t>
        </is>
      </c>
      <c r="D114" s="37" t="inlineStr">
        <is>
          <t>invoice-generator — Failure path is graceful</t>
        </is>
      </c>
      <c r="E114" s="37" t="inlineStr">
        <is>
          <t>Confirms the 'Failure path is graceful' property of the 'invoice-generator' Edge Function. With ~90 functions across two hosts, observability and auth on EACH is what makes incidents debuggable and safe; the 17-day silent-cron outage happened because a function failed unseen.</t>
        </is>
      </c>
      <c r="F114" s="37" t="inlineStr">
        <is>
          <t>Ability to invoke the function (API client) and read its logs on the serving host.</t>
        </is>
      </c>
      <c r="G114" s="37" t="inlineStr">
        <is>
          <t>1) Force its downstream dependency to fail (bad input or simulated dependency error) and observe. (function: invoice-generator).</t>
        </is>
      </c>
      <c r="H114" s="37" t="inlineStr">
        <is>
          <t>Fails gracefully with a structured error and a failure log; no crash, no partial write, no silent success.</t>
        </is>
      </c>
      <c r="I114" s="37" t="inlineStr">
        <is>
          <t>Response + log excerpt for invoice-generator — Failure path is graceful</t>
        </is>
      </c>
      <c r="J114" s="43" t="inlineStr">
        <is>
          <t>NOT RUN</t>
        </is>
      </c>
      <c r="K114" s="37" t="inlineStr">
        <is>
          <t>Claude (pending env)</t>
        </is>
      </c>
      <c r="L114" s="37" t="n"/>
      <c r="M114" s="37" t="n"/>
      <c r="N114" s="37" t="inlineStr">
        <is>
          <t>[T4 | Phase 4 | Claude (pending env)] Playwright/authenticated-API against running env. awaiting running staging URL + test accounts</t>
        </is>
      </c>
    </row>
    <row r="115" ht="53.7" customHeight="1" s="29">
      <c r="A115" s="36" t="inlineStr">
        <is>
          <t>MX-EDGE-0113</t>
        </is>
      </c>
      <c r="B115" s="54" t="inlineStr">
        <is>
          <t>P1</t>
        </is>
      </c>
      <c r="C115" s="36" t="inlineStr">
        <is>
          <t>Backend/Edge Fn</t>
        </is>
      </c>
      <c r="D115" s="36" t="inlineStr">
        <is>
          <t>offline-payment-approval — Happy-path smoke</t>
        </is>
      </c>
      <c r="E115" s="36" t="inlineStr">
        <is>
          <t>Confirms the 'Happy-path smoke' property of the 'offline-payment-approval' Edge Function. With ~90 functions across two hosts, observability and auth on EACH is what makes incidents debuggable and safe; the 17-day silent-cron outage happened because a function failed unseen.</t>
        </is>
      </c>
      <c r="F115" s="36" t="inlineStr">
        <is>
          <t>Ability to invoke the function (API client) and read its logs on the serving host.</t>
        </is>
      </c>
      <c r="G115" s="36" t="inlineStr">
        <is>
          <t>1) Invoke the function with a valid request and confirm a correct 2xx response and expected side effect. (function: offline-payment-approval).</t>
        </is>
      </c>
      <c r="H115" s="36" t="inlineStr">
        <is>
          <t>Returns success; performs its intended effect; no error.</t>
        </is>
      </c>
      <c r="I115" s="36" t="inlineStr">
        <is>
          <t>Response + log excerpt for offline-payment-approval — Happy-path smoke</t>
        </is>
      </c>
      <c r="J115" s="41" t="inlineStr">
        <is>
          <t>NOT RUN</t>
        </is>
      </c>
      <c r="K115" s="36" t="inlineStr">
        <is>
          <t>Claude (pending env)</t>
        </is>
      </c>
      <c r="L115" s="36" t="n"/>
      <c r="M115" s="36" t="n"/>
      <c r="N115" s="36" t="inlineStr">
        <is>
          <t>[T4 | Phase 4 | Claude (pending env)] Playwright/authenticated-API against running env. awaiting running staging URL + test accounts</t>
        </is>
      </c>
    </row>
    <row r="116" ht="64.15000000000001" customHeight="1" s="29">
      <c r="A116" s="37" t="inlineStr">
        <is>
          <t>MX-EDGE-0114</t>
        </is>
      </c>
      <c r="B116" s="54" t="inlineStr">
        <is>
          <t>P1</t>
        </is>
      </c>
      <c r="C116" s="37" t="inlineStr">
        <is>
          <t>Backend/Edge Fn</t>
        </is>
      </c>
      <c r="D116" s="37" t="inlineStr">
        <is>
          <t>offline-payment-approval — Structured start/success/failure logs + correlation ID</t>
        </is>
      </c>
      <c r="E116" s="37" t="inlineStr">
        <is>
          <t>Confirms the 'Structured start/success/failure logs + correlation ID' property of the 'offline-payment-approval' Edge Function. With ~90 functions across two hosts, observability and auth on EACH is what makes incidents debuggable and safe; the 17-day silent-cron outage happened because a function failed unseen.</t>
        </is>
      </c>
      <c r="F116" s="37" t="inlineStr">
        <is>
          <t>Ability to invoke the function (API client) and read its logs on the serving host.</t>
        </is>
      </c>
      <c r="G116" s="37" t="inlineStr">
        <is>
          <t>1) Invoke it and inspect logs; confirm a start log, a terminal (success/failure) log, and a correlation ID that ties them together, plus a host tag. (function: offline-payment-approval).</t>
        </is>
      </c>
      <c r="H116" s="37" t="inlineStr">
        <is>
          <t>Start + terminal logs present, sharing a correlation ID and host tag.</t>
        </is>
      </c>
      <c r="I116" s="37" t="inlineStr">
        <is>
          <t>Response + log excerpt for offline-payment-approval — Structured start/success/failure logs + correlation ID</t>
        </is>
      </c>
      <c r="J116" s="43" t="inlineStr">
        <is>
          <t>NOT RUN</t>
        </is>
      </c>
      <c r="K116" s="37" t="inlineStr">
        <is>
          <t>Claude (pending env)</t>
        </is>
      </c>
      <c r="L116" s="37" t="n"/>
      <c r="M116" s="37" t="n"/>
      <c r="N116" s="37" t="inlineStr">
        <is>
          <t>[T4 | Phase 4 | Claude (pending env)] Playwright/authenticated-API against running env. awaiting running staging URL + test accounts</t>
        </is>
      </c>
    </row>
    <row r="117" ht="53.7" customHeight="1" s="29">
      <c r="A117" s="36" t="inlineStr">
        <is>
          <t>MX-EDGE-0115</t>
        </is>
      </c>
      <c r="B117" s="53" t="inlineStr">
        <is>
          <t>P0</t>
        </is>
      </c>
      <c r="C117" s="36" t="inlineStr">
        <is>
          <t>Backend/Edge Fn</t>
        </is>
      </c>
      <c r="D117" s="36" t="inlineStr">
        <is>
          <t>offline-payment-approval — Auth boundary</t>
        </is>
      </c>
      <c r="E117" s="36" t="inlineStr">
        <is>
          <t>Confirms the 'Auth boundary' property of the 'offline-payment-approval' Edge Function. With ~90 functions across two hosts, observability and auth on EACH is what makes incidents debuggable and safe; the 17-day silent-cron outage happened because a function failed unseen.</t>
        </is>
      </c>
      <c r="F117" s="36" t="inlineStr">
        <is>
          <t>Ability to invoke the function (API client) and read its logs on the serving host.</t>
        </is>
      </c>
      <c r="G117" s="36" t="inlineStr">
        <is>
          <t>1) Invoke it without a valid session / with the wrong role (where the function is not deliberately public). (function: offline-payment-approval).</t>
        </is>
      </c>
      <c r="H117" s="36" t="inlineStr">
        <is>
          <t>Rejects unauthorised callers with a structured error (or is deliberately public with an internal auth check).</t>
        </is>
      </c>
      <c r="I117" s="36" t="inlineStr">
        <is>
          <t>Response + log excerpt for offline-payment-approval — Auth boundary</t>
        </is>
      </c>
      <c r="J117" s="41" t="inlineStr">
        <is>
          <t>NOT RUN</t>
        </is>
      </c>
      <c r="K117" s="36" t="inlineStr">
        <is>
          <t>Claude (pending env)</t>
        </is>
      </c>
      <c r="L117" s="36" t="n"/>
      <c r="M117" s="36" t="n"/>
      <c r="N117" s="36" t="inlineStr">
        <is>
          <t>[T4 | Phase 4 | Claude (pending env)] Playwright/authenticated-API against running env. awaiting running staging URL + test accounts</t>
        </is>
      </c>
    </row>
    <row r="118" ht="53.7" customHeight="1" s="29">
      <c r="A118" s="37" t="inlineStr">
        <is>
          <t>MX-EDGE-0116</t>
        </is>
      </c>
      <c r="B118" s="54" t="inlineStr">
        <is>
          <t>P1</t>
        </is>
      </c>
      <c r="C118" s="37" t="inlineStr">
        <is>
          <t>Backend/Edge Fn</t>
        </is>
      </c>
      <c r="D118" s="37" t="inlineStr">
        <is>
          <t>offline-payment-approval — Failure path is graceful</t>
        </is>
      </c>
      <c r="E118" s="37" t="inlineStr">
        <is>
          <t>Confirms the 'Failure path is graceful' property of the 'offline-payment-approval' Edge Function. With ~90 functions across two hosts, observability and auth on EACH is what makes incidents debuggable and safe; the 17-day silent-cron outage happened because a function failed unseen.</t>
        </is>
      </c>
      <c r="F118" s="37" t="inlineStr">
        <is>
          <t>Ability to invoke the function (API client) and read its logs on the serving host.</t>
        </is>
      </c>
      <c r="G118" s="37" t="inlineStr">
        <is>
          <t>1) Force its downstream dependency to fail (bad input or simulated dependency error) and observe. (function: offline-payment-approval).</t>
        </is>
      </c>
      <c r="H118" s="37" t="inlineStr">
        <is>
          <t>Fails gracefully with a structured error and a failure log; no crash, no partial write, no silent success.</t>
        </is>
      </c>
      <c r="I118" s="37" t="inlineStr">
        <is>
          <t>Response + log excerpt for offline-payment-approval — Failure path is graceful</t>
        </is>
      </c>
      <c r="J118" s="43" t="inlineStr">
        <is>
          <t>NOT RUN</t>
        </is>
      </c>
      <c r="K118" s="37" t="inlineStr">
        <is>
          <t>Claude (pending env)</t>
        </is>
      </c>
      <c r="L118" s="37" t="n"/>
      <c r="M118" s="37" t="n"/>
      <c r="N118" s="37" t="inlineStr">
        <is>
          <t>[T4 | Phase 4 | Claude (pending env)] Playwright/authenticated-API against running env. awaiting running staging URL + test accounts</t>
        </is>
      </c>
    </row>
    <row r="119" ht="53.7" customHeight="1" s="29">
      <c r="A119" s="36" t="inlineStr">
        <is>
          <t>MX-EDGE-0117</t>
        </is>
      </c>
      <c r="B119" s="54" t="inlineStr">
        <is>
          <t>P1</t>
        </is>
      </c>
      <c r="C119" s="36" t="inlineStr">
        <is>
          <t>Backend/Edge Fn</t>
        </is>
      </c>
      <c r="D119" s="36" t="inlineStr">
        <is>
          <t>razorpay-webhook — Happy-path smoke</t>
        </is>
      </c>
      <c r="E119" s="36" t="inlineStr">
        <is>
          <t>Confirms the 'Happy-path smoke' property of the 'razorpay-webhook' Edge Function. With ~90 functions across two hosts, observability and auth on EACH is what makes incidents debuggable and safe; the 17-day silent-cron outage happened because a function failed unseen.</t>
        </is>
      </c>
      <c r="F119" s="36" t="inlineStr">
        <is>
          <t>Ability to invoke the function (API client) and read its logs on the serving host.</t>
        </is>
      </c>
      <c r="G119" s="36" t="inlineStr">
        <is>
          <t>1) Invoke the function with a valid request and confirm a correct 2xx response and expected side effect. (function: razorpay-webhook).</t>
        </is>
      </c>
      <c r="H119" s="36" t="inlineStr">
        <is>
          <t>Returns success; performs its intended effect; no error.</t>
        </is>
      </c>
      <c r="I119" s="36" t="inlineStr">
        <is>
          <t>Response + log excerpt for razorpay-webhook — Happy-path smoke</t>
        </is>
      </c>
      <c r="J119" s="41" t="inlineStr">
        <is>
          <t>NOT RUN</t>
        </is>
      </c>
      <c r="K119" s="36" t="inlineStr">
        <is>
          <t>Claude (pending env)</t>
        </is>
      </c>
      <c r="L119" s="36" t="n"/>
      <c r="M119" s="36" t="n"/>
      <c r="N119" s="36" t="inlineStr">
        <is>
          <t>[T4 | Phase 4 | Claude (pending env)] Playwright/authenticated-API against running env. awaiting running staging URL + test accounts</t>
        </is>
      </c>
    </row>
    <row r="120" ht="53.7" customHeight="1" s="29">
      <c r="A120" s="37" t="inlineStr">
        <is>
          <t>MX-EDGE-0118</t>
        </is>
      </c>
      <c r="B120" s="54" t="inlineStr">
        <is>
          <t>P1</t>
        </is>
      </c>
      <c r="C120" s="37" t="inlineStr">
        <is>
          <t>Backend/Edge Fn</t>
        </is>
      </c>
      <c r="D120" s="37" t="inlineStr">
        <is>
          <t>razorpay-webhook — Structured start/success/failure logs + correlation ID</t>
        </is>
      </c>
      <c r="E120" s="37" t="inlineStr">
        <is>
          <t>Confirms the 'Structured start/success/failure logs + correlation ID' property of the 'razorpay-webhook' Edge Function. With ~90 functions across two hosts, observability and auth on EACH is what makes incidents debuggable and safe; the 17-day silent-cron outage happened because a function failed unseen.</t>
        </is>
      </c>
      <c r="F120" s="37" t="inlineStr">
        <is>
          <t>Ability to invoke the function (API client) and read its logs on the serving host.</t>
        </is>
      </c>
      <c r="G120" s="37" t="inlineStr">
        <is>
          <t>1) Invoke it and inspect logs; confirm a start log, a terminal (success/failure) log, and a correlation ID that ties them together, plus a host tag. (function: razorpay-webhook).</t>
        </is>
      </c>
      <c r="H120" s="37" t="inlineStr">
        <is>
          <t>Start + terminal logs present, sharing a correlation ID and host tag.</t>
        </is>
      </c>
      <c r="I120" s="37" t="inlineStr">
        <is>
          <t>Response + log excerpt for razorpay-webhook — Structured start/success/failure logs + correlation ID</t>
        </is>
      </c>
      <c r="J120" s="43" t="inlineStr">
        <is>
          <t>NOT RUN</t>
        </is>
      </c>
      <c r="K120" s="37" t="inlineStr">
        <is>
          <t>Claude (pending env)</t>
        </is>
      </c>
      <c r="L120" s="37" t="n"/>
      <c r="M120" s="37" t="n"/>
      <c r="N120" s="37" t="inlineStr">
        <is>
          <t>[T4 | Phase 4 | Claude (pending env)] Playwright/authenticated-API against running env. awaiting running staging URL + test accounts</t>
        </is>
      </c>
    </row>
    <row r="121" ht="53.7" customHeight="1" s="29">
      <c r="A121" s="36" t="inlineStr">
        <is>
          <t>MX-EDGE-0119</t>
        </is>
      </c>
      <c r="B121" s="53" t="inlineStr">
        <is>
          <t>P0</t>
        </is>
      </c>
      <c r="C121" s="36" t="inlineStr">
        <is>
          <t>Backend/Edge Fn</t>
        </is>
      </c>
      <c r="D121" s="36" t="inlineStr">
        <is>
          <t>razorpay-webhook — Auth boundary</t>
        </is>
      </c>
      <c r="E121" s="36" t="inlineStr">
        <is>
          <t>Confirms the 'Auth boundary' property of the 'razorpay-webhook' Edge Function. With ~90 functions across two hosts, observability and auth on EACH is what makes incidents debuggable and safe; the 17-day silent-cron outage happened because a function failed unseen.</t>
        </is>
      </c>
      <c r="F121" s="36" t="inlineStr">
        <is>
          <t>Ability to invoke the function (API client) and read its logs on the serving host.</t>
        </is>
      </c>
      <c r="G121" s="36" t="inlineStr">
        <is>
          <t>1) Invoke it without a valid session / with the wrong role (where the function is not deliberately public). (function: razorpay-webhook).</t>
        </is>
      </c>
      <c r="H121" s="36" t="inlineStr">
        <is>
          <t>Rejects unauthorised callers with a structured error (or is deliberately public with an internal auth check).</t>
        </is>
      </c>
      <c r="I121" s="36" t="inlineStr">
        <is>
          <t>Response + log excerpt for razorpay-webhook — Auth boundary</t>
        </is>
      </c>
      <c r="J121" s="41" t="inlineStr">
        <is>
          <t>NOT RUN</t>
        </is>
      </c>
      <c r="K121" s="36" t="inlineStr">
        <is>
          <t>Claude (pending env)</t>
        </is>
      </c>
      <c r="L121" s="36" t="n"/>
      <c r="M121" s="36" t="n"/>
      <c r="N121" s="36" t="inlineStr">
        <is>
          <t>[T4 | Phase 4 | Claude (pending env)] Playwright/authenticated-API against running env. awaiting running staging URL + test accounts</t>
        </is>
      </c>
    </row>
    <row r="122" ht="53.7" customHeight="1" s="29">
      <c r="A122" s="37" t="inlineStr">
        <is>
          <t>MX-EDGE-0120</t>
        </is>
      </c>
      <c r="B122" s="54" t="inlineStr">
        <is>
          <t>P1</t>
        </is>
      </c>
      <c r="C122" s="37" t="inlineStr">
        <is>
          <t>Backend/Edge Fn</t>
        </is>
      </c>
      <c r="D122" s="37" t="inlineStr">
        <is>
          <t>razorpay-webhook — Failure path is graceful</t>
        </is>
      </c>
      <c r="E122" s="37" t="inlineStr">
        <is>
          <t>Confirms the 'Failure path is graceful' property of the 'razorpay-webhook' Edge Function. With ~90 functions across two hosts, observability and auth on EACH is what makes incidents debuggable and safe; the 17-day silent-cron outage happened because a function failed unseen.</t>
        </is>
      </c>
      <c r="F122" s="37" t="inlineStr">
        <is>
          <t>Ability to invoke the function (API client) and read its logs on the serving host.</t>
        </is>
      </c>
      <c r="G122" s="37" t="inlineStr">
        <is>
          <t>1) Force its downstream dependency to fail (bad input or simulated dependency error) and observe. (function: razorpay-webhook).</t>
        </is>
      </c>
      <c r="H122" s="37" t="inlineStr">
        <is>
          <t>Fails gracefully with a structured error and a failure log; no crash, no partial write, no silent success.</t>
        </is>
      </c>
      <c r="I122" s="37" t="inlineStr">
        <is>
          <t>Response + log excerpt for razorpay-webhook — Failure path is graceful</t>
        </is>
      </c>
      <c r="J122" s="43" t="inlineStr">
        <is>
          <t>NOT RUN</t>
        </is>
      </c>
      <c r="K122" s="37" t="inlineStr">
        <is>
          <t>Claude (pending env)</t>
        </is>
      </c>
      <c r="L122" s="37" t="n"/>
      <c r="M122" s="37" t="n"/>
      <c r="N122" s="37" t="inlineStr">
        <is>
          <t>[T4 | Phase 4 | Claude (pending env)] Playwright/authenticated-API against running env. awaiting running staging URL + test accounts</t>
        </is>
      </c>
    </row>
    <row r="123" ht="53.7" customHeight="1" s="29">
      <c r="A123" s="36" t="inlineStr">
        <is>
          <t>MX-EDGE-0121</t>
        </is>
      </c>
      <c r="B123" s="54" t="inlineStr">
        <is>
          <t>P1</t>
        </is>
      </c>
      <c r="C123" s="36" t="inlineStr">
        <is>
          <t>Backend/Edge Fn</t>
        </is>
      </c>
      <c r="D123" s="36" t="inlineStr">
        <is>
          <t>payment-order — Happy-path smoke</t>
        </is>
      </c>
      <c r="E123" s="36" t="inlineStr">
        <is>
          <t>Confirms the 'Happy-path smoke' property of the 'payment-order' Edge Function. With ~90 functions across two hosts, observability and auth on EACH is what makes incidents debuggable and safe; the 17-day silent-cron outage happened because a function failed unseen.</t>
        </is>
      </c>
      <c r="F123" s="36" t="inlineStr">
        <is>
          <t>Ability to invoke the function (API client) and read its logs on the serving host.</t>
        </is>
      </c>
      <c r="G123" s="36" t="inlineStr">
        <is>
          <t>1) Invoke the function with a valid request and confirm a correct 2xx response and expected side effect. (function: payment-order).</t>
        </is>
      </c>
      <c r="H123" s="36" t="inlineStr">
        <is>
          <t>Returns success; performs its intended effect; no error.</t>
        </is>
      </c>
      <c r="I123" s="36" t="inlineStr">
        <is>
          <t>Response + log excerpt for payment-order — Happy-path smoke</t>
        </is>
      </c>
      <c r="J123" s="41" t="inlineStr">
        <is>
          <t>NOT RUN</t>
        </is>
      </c>
      <c r="K123" s="36" t="inlineStr">
        <is>
          <t>Claude (pending env)</t>
        </is>
      </c>
      <c r="L123" s="36" t="n"/>
      <c r="M123" s="36" t="n"/>
      <c r="N123" s="36" t="inlineStr">
        <is>
          <t>[T4 | Phase 4 | Claude (pending env)] Playwright/authenticated-API against running env. awaiting running staging URL + test accounts</t>
        </is>
      </c>
    </row>
    <row r="124" ht="53.7" customHeight="1" s="29">
      <c r="A124" s="37" t="inlineStr">
        <is>
          <t>MX-EDGE-0122</t>
        </is>
      </c>
      <c r="B124" s="54" t="inlineStr">
        <is>
          <t>P1</t>
        </is>
      </c>
      <c r="C124" s="37" t="inlineStr">
        <is>
          <t>Backend/Edge Fn</t>
        </is>
      </c>
      <c r="D124" s="37" t="inlineStr">
        <is>
          <t>payment-order — Structured start/success/failure logs + correlation ID</t>
        </is>
      </c>
      <c r="E124" s="37" t="inlineStr">
        <is>
          <t>Confirms the 'Structured start/success/failure logs + correlation ID' property of the 'payment-order' Edge Function. With ~90 functions across two hosts, observability and auth on EACH is what makes incidents debuggable and safe; the 17-day silent-cron outage happened because a function failed unseen.</t>
        </is>
      </c>
      <c r="F124" s="37" t="inlineStr">
        <is>
          <t>Ability to invoke the function (API client) and read its logs on the serving host.</t>
        </is>
      </c>
      <c r="G124" s="37" t="inlineStr">
        <is>
          <t>1) Invoke it and inspect logs; confirm a start log, a terminal (success/failure) log, and a correlation ID that ties them together, plus a host tag. (function: payment-order).</t>
        </is>
      </c>
      <c r="H124" s="37" t="inlineStr">
        <is>
          <t>Start + terminal logs present, sharing a correlation ID and host tag.</t>
        </is>
      </c>
      <c r="I124" s="37" t="inlineStr">
        <is>
          <t>Response + log excerpt for payment-order — Structured start/success/failure logs + correlation ID</t>
        </is>
      </c>
      <c r="J124" s="43" t="inlineStr">
        <is>
          <t>NOT RUN</t>
        </is>
      </c>
      <c r="K124" s="37" t="inlineStr">
        <is>
          <t>Claude (pending env)</t>
        </is>
      </c>
      <c r="L124" s="37" t="n"/>
      <c r="M124" s="37" t="n"/>
      <c r="N124" s="37" t="inlineStr">
        <is>
          <t>[T4 | Phase 4 | Claude (pending env)] Playwright/authenticated-API against running env. awaiting running staging URL + test accounts</t>
        </is>
      </c>
    </row>
    <row r="125" ht="53.7" customHeight="1" s="29">
      <c r="A125" s="36" t="inlineStr">
        <is>
          <t>MX-EDGE-0123</t>
        </is>
      </c>
      <c r="B125" s="53" t="inlineStr">
        <is>
          <t>P0</t>
        </is>
      </c>
      <c r="C125" s="36" t="inlineStr">
        <is>
          <t>Backend/Edge Fn</t>
        </is>
      </c>
      <c r="D125" s="36" t="inlineStr">
        <is>
          <t>payment-order — Auth boundary</t>
        </is>
      </c>
      <c r="E125" s="36" t="inlineStr">
        <is>
          <t>Confirms the 'Auth boundary' property of the 'payment-order' Edge Function. With ~90 functions across two hosts, observability and auth on EACH is what makes incidents debuggable and safe; the 17-day silent-cron outage happened because a function failed unseen.</t>
        </is>
      </c>
      <c r="F125" s="36" t="inlineStr">
        <is>
          <t>Ability to invoke the function (API client) and read its logs on the serving host.</t>
        </is>
      </c>
      <c r="G125" s="36" t="inlineStr">
        <is>
          <t>1) Invoke it without a valid session / with the wrong role (where the function is not deliberately public). (function: payment-order).</t>
        </is>
      </c>
      <c r="H125" s="36" t="inlineStr">
        <is>
          <t>Rejects unauthorised callers with a structured error (or is deliberately public with an internal auth check).</t>
        </is>
      </c>
      <c r="I125" s="36" t="inlineStr">
        <is>
          <t>Response + log excerpt for payment-order — Auth boundary</t>
        </is>
      </c>
      <c r="J125" s="41" t="inlineStr">
        <is>
          <t>NOT RUN</t>
        </is>
      </c>
      <c r="K125" s="36" t="inlineStr">
        <is>
          <t>Claude (pending env)</t>
        </is>
      </c>
      <c r="L125" s="36" t="n"/>
      <c r="M125" s="36" t="n"/>
      <c r="N125" s="36" t="inlineStr">
        <is>
          <t>[T4 | Phase 4 | Claude (pending env)] Playwright/authenticated-API against running env. awaiting running staging URL + test accounts</t>
        </is>
      </c>
    </row>
    <row r="126" ht="53.7" customHeight="1" s="29">
      <c r="A126" s="37" t="inlineStr">
        <is>
          <t>MX-EDGE-0124</t>
        </is>
      </c>
      <c r="B126" s="54" t="inlineStr">
        <is>
          <t>P1</t>
        </is>
      </c>
      <c r="C126" s="37" t="inlineStr">
        <is>
          <t>Backend/Edge Fn</t>
        </is>
      </c>
      <c r="D126" s="37" t="inlineStr">
        <is>
          <t>payment-order — Failure path is graceful</t>
        </is>
      </c>
      <c r="E126" s="37" t="inlineStr">
        <is>
          <t>Confirms the 'Failure path is graceful' property of the 'payment-order' Edge Function. With ~90 functions across two hosts, observability and auth on EACH is what makes incidents debuggable and safe; the 17-day silent-cron outage happened because a function failed unseen.</t>
        </is>
      </c>
      <c r="F126" s="37" t="inlineStr">
        <is>
          <t>Ability to invoke the function (API client) and read its logs on the serving host.</t>
        </is>
      </c>
      <c r="G126" s="37" t="inlineStr">
        <is>
          <t>1) Force its downstream dependency to fail (bad input or simulated dependency error) and observe. (function: payment-order).</t>
        </is>
      </c>
      <c r="H126" s="37" t="inlineStr">
        <is>
          <t>Fails gracefully with a structured error and a failure log; no crash, no partial write, no silent success.</t>
        </is>
      </c>
      <c r="I126" s="37" t="inlineStr">
        <is>
          <t>Response + log excerpt for payment-order — Failure path is graceful</t>
        </is>
      </c>
      <c r="J126" s="43" t="inlineStr">
        <is>
          <t>NOT RUN</t>
        </is>
      </c>
      <c r="K126" s="37" t="inlineStr">
        <is>
          <t>Claude (pending env)</t>
        </is>
      </c>
      <c r="L126" s="37" t="n"/>
      <c r="M126" s="37" t="n"/>
      <c r="N126" s="37" t="inlineStr">
        <is>
          <t>[T4 | Phase 4 | Claude (pending env)] Playwright/authenticated-API against running env. awaiting running staging URL + test accounts</t>
        </is>
      </c>
    </row>
    <row r="127" ht="53.7" customHeight="1" s="29">
      <c r="A127" s="36" t="inlineStr">
        <is>
          <t>MX-EDGE-0125</t>
        </is>
      </c>
      <c r="B127" s="54" t="inlineStr">
        <is>
          <t>P1</t>
        </is>
      </c>
      <c r="C127" s="36" t="inlineStr">
        <is>
          <t>Backend/Edge Fn</t>
        </is>
      </c>
      <c r="D127" s="36" t="inlineStr">
        <is>
          <t>send-pre-debit-notice — Happy-path smoke</t>
        </is>
      </c>
      <c r="E127" s="36" t="inlineStr">
        <is>
          <t>Confirms the 'Happy-path smoke' property of the 'send-pre-debit-notice' Edge Function. With ~90 functions across two hosts, observability and auth on EACH is what makes incidents debuggable and safe; the 17-day silent-cron outage happened because a function failed unseen.</t>
        </is>
      </c>
      <c r="F127" s="36" t="inlineStr">
        <is>
          <t>Ability to invoke the function (API client) and read its logs on the serving host.</t>
        </is>
      </c>
      <c r="G127" s="36" t="inlineStr">
        <is>
          <t>1) Invoke the function with a valid request and confirm a correct 2xx response and expected side effect. (function: send-pre-debit-notice).</t>
        </is>
      </c>
      <c r="H127" s="36" t="inlineStr">
        <is>
          <t>Returns success; performs its intended effect; no error.</t>
        </is>
      </c>
      <c r="I127" s="36" t="inlineStr">
        <is>
          <t>Response + log excerpt for send-pre-debit-notice — Happy-path smoke</t>
        </is>
      </c>
      <c r="J127" s="41" t="inlineStr">
        <is>
          <t>NOT RUN</t>
        </is>
      </c>
      <c r="K127" s="36" t="inlineStr">
        <is>
          <t>Claude (pending env)</t>
        </is>
      </c>
      <c r="L127" s="36" t="n"/>
      <c r="M127" s="36" t="n"/>
      <c r="N127" s="36" t="inlineStr">
        <is>
          <t>[T4 | Phase 4 | Claude (pending env)] Playwright/authenticated-API against running env. awaiting running staging URL + test accounts</t>
        </is>
      </c>
    </row>
    <row r="128" ht="53.7" customHeight="1" s="29">
      <c r="A128" s="37" t="inlineStr">
        <is>
          <t>MX-EDGE-0126</t>
        </is>
      </c>
      <c r="B128" s="54" t="inlineStr">
        <is>
          <t>P1</t>
        </is>
      </c>
      <c r="C128" s="37" t="inlineStr">
        <is>
          <t>Backend/Edge Fn</t>
        </is>
      </c>
      <c r="D128" s="37" t="inlineStr">
        <is>
          <t>send-pre-debit-notice — Structured start/success/failure logs + correlation ID</t>
        </is>
      </c>
      <c r="E128" s="37" t="inlineStr">
        <is>
          <t>Confirms the 'Structured start/success/failure logs + correlation ID' property of the 'send-pre-debit-notice' Edge Function. With ~90 functions across two hosts, observability and auth on EACH is what makes incidents debuggable and safe; the 17-day silent-cron outage happened because a function failed unseen.</t>
        </is>
      </c>
      <c r="F128" s="37" t="inlineStr">
        <is>
          <t>Ability to invoke the function (API client) and read its logs on the serving host.</t>
        </is>
      </c>
      <c r="G128" s="37" t="inlineStr">
        <is>
          <t>1) Invoke it and inspect logs; confirm a start log, a terminal (success/failure) log, and a correlation ID that ties them together, plus a host tag. (function: send-pre-debit-notice).</t>
        </is>
      </c>
      <c r="H128" s="37" t="inlineStr">
        <is>
          <t>Start + terminal logs present, sharing a correlation ID and host tag.</t>
        </is>
      </c>
      <c r="I128" s="37" t="inlineStr">
        <is>
          <t>Response + log excerpt for send-pre-debit-notice — Structured start/success/failure logs + correlation ID</t>
        </is>
      </c>
      <c r="J128" s="43" t="inlineStr">
        <is>
          <t>NOT RUN</t>
        </is>
      </c>
      <c r="K128" s="37" t="inlineStr">
        <is>
          <t>Claude (pending env)</t>
        </is>
      </c>
      <c r="L128" s="37" t="n"/>
      <c r="M128" s="37" t="n"/>
      <c r="N128" s="37" t="inlineStr">
        <is>
          <t>[T4 | Phase 4 | Claude (pending env)] Playwright/authenticated-API against running env. awaiting running staging URL + test accounts</t>
        </is>
      </c>
    </row>
    <row r="129" ht="53.7" customHeight="1" s="29">
      <c r="A129" s="36" t="inlineStr">
        <is>
          <t>MX-EDGE-0127</t>
        </is>
      </c>
      <c r="B129" s="53" t="inlineStr">
        <is>
          <t>P0</t>
        </is>
      </c>
      <c r="C129" s="36" t="inlineStr">
        <is>
          <t>Backend/Edge Fn</t>
        </is>
      </c>
      <c r="D129" s="36" t="inlineStr">
        <is>
          <t>send-pre-debit-notice — Auth boundary</t>
        </is>
      </c>
      <c r="E129" s="36" t="inlineStr">
        <is>
          <t>Confirms the 'Auth boundary' property of the 'send-pre-debit-notice' Edge Function. With ~90 functions across two hosts, observability and auth on EACH is what makes incidents debuggable and safe; the 17-day silent-cron outage happened because a function failed unseen.</t>
        </is>
      </c>
      <c r="F129" s="36" t="inlineStr">
        <is>
          <t>Ability to invoke the function (API client) and read its logs on the serving host.</t>
        </is>
      </c>
      <c r="G129" s="36" t="inlineStr">
        <is>
          <t>1) Invoke it without a valid session / with the wrong role (where the function is not deliberately public). (function: send-pre-debit-notice).</t>
        </is>
      </c>
      <c r="H129" s="36" t="inlineStr">
        <is>
          <t>Rejects unauthorised callers with a structured error (or is deliberately public with an internal auth check).</t>
        </is>
      </c>
      <c r="I129" s="36" t="inlineStr">
        <is>
          <t>Response + log excerpt for send-pre-debit-notice — Auth boundary</t>
        </is>
      </c>
      <c r="J129" s="41" t="inlineStr">
        <is>
          <t>NOT RUN</t>
        </is>
      </c>
      <c r="K129" s="36" t="inlineStr">
        <is>
          <t>Claude (pending env)</t>
        </is>
      </c>
      <c r="L129" s="36" t="n"/>
      <c r="M129" s="36" t="n"/>
      <c r="N129" s="36" t="inlineStr">
        <is>
          <t>[T4 | Phase 4 | Claude (pending env)] Playwright/authenticated-API against running env. awaiting running staging URL + test accounts</t>
        </is>
      </c>
    </row>
    <row r="130" ht="53.7" customHeight="1" s="29">
      <c r="A130" s="37" t="inlineStr">
        <is>
          <t>MX-EDGE-0128</t>
        </is>
      </c>
      <c r="B130" s="54" t="inlineStr">
        <is>
          <t>P1</t>
        </is>
      </c>
      <c r="C130" s="37" t="inlineStr">
        <is>
          <t>Backend/Edge Fn</t>
        </is>
      </c>
      <c r="D130" s="37" t="inlineStr">
        <is>
          <t>send-pre-debit-notice — Failure path is graceful</t>
        </is>
      </c>
      <c r="E130" s="37" t="inlineStr">
        <is>
          <t>Confirms the 'Failure path is graceful' property of the 'send-pre-debit-notice' Edge Function. With ~90 functions across two hosts, observability and auth on EACH is what makes incidents debuggable and safe; the 17-day silent-cron outage happened because a function failed unseen.</t>
        </is>
      </c>
      <c r="F130" s="37" t="inlineStr">
        <is>
          <t>Ability to invoke the function (API client) and read its logs on the serving host.</t>
        </is>
      </c>
      <c r="G130" s="37" t="inlineStr">
        <is>
          <t>1) Force its downstream dependency to fail (bad input or simulated dependency error) and observe. (function: send-pre-debit-notice).</t>
        </is>
      </c>
      <c r="H130" s="37" t="inlineStr">
        <is>
          <t>Fails gracefully with a structured error and a failure log; no crash, no partial write, no silent success.</t>
        </is>
      </c>
      <c r="I130" s="37" t="inlineStr">
        <is>
          <t>Response + log excerpt for send-pre-debit-notice — Failure path is graceful</t>
        </is>
      </c>
      <c r="J130" s="43" t="inlineStr">
        <is>
          <t>NOT RUN</t>
        </is>
      </c>
      <c r="K130" s="37" t="inlineStr">
        <is>
          <t>Claude (pending env)</t>
        </is>
      </c>
      <c r="L130" s="37" t="n"/>
      <c r="M130" s="37" t="n"/>
      <c r="N130" s="37" t="inlineStr">
        <is>
          <t>[T4 | Phase 4 | Claude (pending env)] Playwright/authenticated-API against running env. awaiting running staging URL + test accounts</t>
        </is>
      </c>
    </row>
    <row r="131" ht="53.7" customHeight="1" s="29">
      <c r="A131" s="36" t="inlineStr">
        <is>
          <t>MX-EDGE-0129</t>
        </is>
      </c>
      <c r="B131" s="54" t="inlineStr">
        <is>
          <t>P1</t>
        </is>
      </c>
      <c r="C131" s="36" t="inlineStr">
        <is>
          <t>Backend/Edge Fn</t>
        </is>
      </c>
      <c r="D131" s="36" t="inlineStr">
        <is>
          <t>send-renewal-reminder — Happy-path smoke</t>
        </is>
      </c>
      <c r="E131" s="36" t="inlineStr">
        <is>
          <t>Confirms the 'Happy-path smoke' property of the 'send-renewal-reminder' Edge Function. With ~90 functions across two hosts, observability and auth on EACH is what makes incidents debuggable and safe; the 17-day silent-cron outage happened because a function failed unseen.</t>
        </is>
      </c>
      <c r="F131" s="36" t="inlineStr">
        <is>
          <t>Ability to invoke the function (API client) and read its logs on the serving host.</t>
        </is>
      </c>
      <c r="G131" s="36" t="inlineStr">
        <is>
          <t>1) Invoke the function with a valid request and confirm a correct 2xx response and expected side effect. (function: send-renewal-reminder).</t>
        </is>
      </c>
      <c r="H131" s="36" t="inlineStr">
        <is>
          <t>Returns success; performs its intended effect; no error.</t>
        </is>
      </c>
      <c r="I131" s="36" t="inlineStr">
        <is>
          <t>Response + log excerpt for send-renewal-reminder — Happy-path smoke</t>
        </is>
      </c>
      <c r="J131" s="41" t="inlineStr">
        <is>
          <t>NOT RUN</t>
        </is>
      </c>
      <c r="K131" s="36" t="inlineStr">
        <is>
          <t>Claude (pending env)</t>
        </is>
      </c>
      <c r="L131" s="36" t="n"/>
      <c r="M131" s="36" t="n"/>
      <c r="N131" s="36" t="inlineStr">
        <is>
          <t>[T4 | Phase 4 | Claude (pending env)] Playwright/authenticated-API against running env. awaiting running staging URL + test accounts</t>
        </is>
      </c>
    </row>
    <row r="132" ht="53.7" customHeight="1" s="29">
      <c r="A132" s="37" t="inlineStr">
        <is>
          <t>MX-EDGE-0130</t>
        </is>
      </c>
      <c r="B132" s="54" t="inlineStr">
        <is>
          <t>P1</t>
        </is>
      </c>
      <c r="C132" s="37" t="inlineStr">
        <is>
          <t>Backend/Edge Fn</t>
        </is>
      </c>
      <c r="D132" s="37" t="inlineStr">
        <is>
          <t>send-renewal-reminder — Structured start/success/failure logs + correlation ID</t>
        </is>
      </c>
      <c r="E132" s="37" t="inlineStr">
        <is>
          <t>Confirms the 'Structured start/success/failure logs + correlation ID' property of the 'send-renewal-reminder' Edge Function. With ~90 functions across two hosts, observability and auth on EACH is what makes incidents debuggable and safe; the 17-day silent-cron outage happened because a function failed unseen.</t>
        </is>
      </c>
      <c r="F132" s="37" t="inlineStr">
        <is>
          <t>Ability to invoke the function (API client) and read its logs on the serving host.</t>
        </is>
      </c>
      <c r="G132" s="37" t="inlineStr">
        <is>
          <t>1) Invoke it and inspect logs; confirm a start log, a terminal (success/failure) log, and a correlation ID that ties them together, plus a host tag. (function: send-renewal-reminder).</t>
        </is>
      </c>
      <c r="H132" s="37" t="inlineStr">
        <is>
          <t>Start + terminal logs present, sharing a correlation ID and host tag.</t>
        </is>
      </c>
      <c r="I132" s="37" t="inlineStr">
        <is>
          <t>Response + log excerpt for send-renewal-reminder — Structured start/success/failure logs + correlation ID</t>
        </is>
      </c>
      <c r="J132" s="43" t="inlineStr">
        <is>
          <t>NOT RUN</t>
        </is>
      </c>
      <c r="K132" s="37" t="inlineStr">
        <is>
          <t>Claude (pending env)</t>
        </is>
      </c>
      <c r="L132" s="37" t="n"/>
      <c r="M132" s="37" t="n"/>
      <c r="N132" s="37" t="inlineStr">
        <is>
          <t>[T4 | Phase 4 | Claude (pending env)] Playwright/authenticated-API against running env. awaiting running staging URL + test accounts</t>
        </is>
      </c>
    </row>
    <row r="133" ht="53.7" customHeight="1" s="29">
      <c r="A133" s="36" t="inlineStr">
        <is>
          <t>MX-EDGE-0131</t>
        </is>
      </c>
      <c r="B133" s="53" t="inlineStr">
        <is>
          <t>P0</t>
        </is>
      </c>
      <c r="C133" s="36" t="inlineStr">
        <is>
          <t>Backend/Edge Fn</t>
        </is>
      </c>
      <c r="D133" s="36" t="inlineStr">
        <is>
          <t>send-renewal-reminder — Auth boundary</t>
        </is>
      </c>
      <c r="E133" s="36" t="inlineStr">
        <is>
          <t>Confirms the 'Auth boundary' property of the 'send-renewal-reminder' Edge Function. With ~90 functions across two hosts, observability and auth on EACH is what makes incidents debuggable and safe; the 17-day silent-cron outage happened because a function failed unseen.</t>
        </is>
      </c>
      <c r="F133" s="36" t="inlineStr">
        <is>
          <t>Ability to invoke the function (API client) and read its logs on the serving host.</t>
        </is>
      </c>
      <c r="G133" s="36" t="inlineStr">
        <is>
          <t>1) Invoke it without a valid session / with the wrong role (where the function is not deliberately public). (function: send-renewal-reminder).</t>
        </is>
      </c>
      <c r="H133" s="36" t="inlineStr">
        <is>
          <t>Rejects unauthorised callers with a structured error (or is deliberately public with an internal auth check).</t>
        </is>
      </c>
      <c r="I133" s="36" t="inlineStr">
        <is>
          <t>Response + log excerpt for send-renewal-reminder — Auth boundary</t>
        </is>
      </c>
      <c r="J133" s="41" t="inlineStr">
        <is>
          <t>NOT RUN</t>
        </is>
      </c>
      <c r="K133" s="36" t="inlineStr">
        <is>
          <t>Claude (pending env)</t>
        </is>
      </c>
      <c r="L133" s="36" t="n"/>
      <c r="M133" s="36" t="n"/>
      <c r="N133" s="36" t="inlineStr">
        <is>
          <t>[T4 | Phase 4 | Claude (pending env)] Playwright/authenticated-API against running env. awaiting running staging URL + test accounts</t>
        </is>
      </c>
    </row>
    <row r="134" ht="53.7" customHeight="1" s="29">
      <c r="A134" s="37" t="inlineStr">
        <is>
          <t>MX-EDGE-0132</t>
        </is>
      </c>
      <c r="B134" s="54" t="inlineStr">
        <is>
          <t>P1</t>
        </is>
      </c>
      <c r="C134" s="37" t="inlineStr">
        <is>
          <t>Backend/Edge Fn</t>
        </is>
      </c>
      <c r="D134" s="37" t="inlineStr">
        <is>
          <t>send-renewal-reminder — Failure path is graceful</t>
        </is>
      </c>
      <c r="E134" s="37" t="inlineStr">
        <is>
          <t>Confirms the 'Failure path is graceful' property of the 'send-renewal-reminder' Edge Function. With ~90 functions across two hosts, observability and auth on EACH is what makes incidents debuggable and safe; the 17-day silent-cron outage happened because a function failed unseen.</t>
        </is>
      </c>
      <c r="F134" s="37" t="inlineStr">
        <is>
          <t>Ability to invoke the function (API client) and read its logs on the serving host.</t>
        </is>
      </c>
      <c r="G134" s="37" t="inlineStr">
        <is>
          <t>1) Force its downstream dependency to fail (bad input or simulated dependency error) and observe. (function: send-renewal-reminder).</t>
        </is>
      </c>
      <c r="H134" s="37" t="inlineStr">
        <is>
          <t>Fails gracefully with a structured error and a failure log; no crash, no partial write, no silent success.</t>
        </is>
      </c>
      <c r="I134" s="37" t="inlineStr">
        <is>
          <t>Response + log excerpt for send-renewal-reminder — Failure path is graceful</t>
        </is>
      </c>
      <c r="J134" s="43" t="inlineStr">
        <is>
          <t>NOT RUN</t>
        </is>
      </c>
      <c r="K134" s="37" t="inlineStr">
        <is>
          <t>Claude (pending env)</t>
        </is>
      </c>
      <c r="L134" s="37" t="n"/>
      <c r="M134" s="37" t="n"/>
      <c r="N134" s="37" t="inlineStr">
        <is>
          <t>[T4 | Phase 4 | Claude (pending env)] Playwright/authenticated-API against running env. awaiting running staging URL + test accounts</t>
        </is>
      </c>
    </row>
    <row r="135" ht="53.7" customHeight="1" s="29">
      <c r="A135" s="36" t="inlineStr">
        <is>
          <t>MX-EDGE-0133</t>
        </is>
      </c>
      <c r="B135" s="54" t="inlineStr">
        <is>
          <t>P1</t>
        </is>
      </c>
      <c r="C135" s="36" t="inlineStr">
        <is>
          <t>Backend/Edge Fn</t>
        </is>
      </c>
      <c r="D135" s="36" t="inlineStr">
        <is>
          <t>check-and-record-usage — Happy-path smoke</t>
        </is>
      </c>
      <c r="E135" s="36" t="inlineStr">
        <is>
          <t>Confirms the 'Happy-path smoke' property of the 'check-and-record-usage' Edge Function. With ~90 functions across two hosts, observability and auth on EACH is what makes incidents debuggable and safe; the 17-day silent-cron outage happened because a function failed unseen.</t>
        </is>
      </c>
      <c r="F135" s="36" t="inlineStr">
        <is>
          <t>Ability to invoke the function (API client) and read its logs on the serving host.</t>
        </is>
      </c>
      <c r="G135" s="36" t="inlineStr">
        <is>
          <t>1) Invoke the function with a valid request and confirm a correct 2xx response and expected side effect. (function: check-and-record-usage).</t>
        </is>
      </c>
      <c r="H135" s="36" t="inlineStr">
        <is>
          <t>Returns success; performs its intended effect; no error.</t>
        </is>
      </c>
      <c r="I135" s="36" t="inlineStr">
        <is>
          <t>Response + log excerpt for check-and-record-usage — Happy-path smoke</t>
        </is>
      </c>
      <c r="J135" s="41" t="inlineStr">
        <is>
          <t>NOT RUN</t>
        </is>
      </c>
      <c r="K135" s="36" t="inlineStr">
        <is>
          <t>Claude (pending env)</t>
        </is>
      </c>
      <c r="L135" s="36" t="n"/>
      <c r="M135" s="36" t="n"/>
      <c r="N135" s="36" t="inlineStr">
        <is>
          <t>[T4 | Phase 4 | Claude (pending env)] Playwright/authenticated-API against running env. awaiting running staging URL + test accounts</t>
        </is>
      </c>
    </row>
    <row r="136" ht="64.15000000000001" customHeight="1" s="29">
      <c r="A136" s="37" t="inlineStr">
        <is>
          <t>MX-EDGE-0134</t>
        </is>
      </c>
      <c r="B136" s="54" t="inlineStr">
        <is>
          <t>P1</t>
        </is>
      </c>
      <c r="C136" s="37" t="inlineStr">
        <is>
          <t>Backend/Edge Fn</t>
        </is>
      </c>
      <c r="D136" s="37" t="inlineStr">
        <is>
          <t>check-and-record-usage — Structured start/success/failure logs + correlation ID</t>
        </is>
      </c>
      <c r="E136" s="37" t="inlineStr">
        <is>
          <t>Confirms the 'Structured start/success/failure logs + correlation ID' property of the 'check-and-record-usage' Edge Function. With ~90 functions across two hosts, observability and auth on EACH is what makes incidents debuggable and safe; the 17-day silent-cron outage happened because a function failed unseen.</t>
        </is>
      </c>
      <c r="F136" s="37" t="inlineStr">
        <is>
          <t>Ability to invoke the function (API client) and read its logs on the serving host.</t>
        </is>
      </c>
      <c r="G136" s="37" t="inlineStr">
        <is>
          <t>1) Invoke it and inspect logs; confirm a start log, a terminal (success/failure) log, and a correlation ID that ties them together, plus a host tag. (function: check-and-record-usage).</t>
        </is>
      </c>
      <c r="H136" s="37" t="inlineStr">
        <is>
          <t>Start + terminal logs present, sharing a correlation ID and host tag.</t>
        </is>
      </c>
      <c r="I136" s="37" t="inlineStr">
        <is>
          <t>Response + log excerpt for check-and-record-usage — Structured start/success/failure logs + correlation ID</t>
        </is>
      </c>
      <c r="J136" s="43" t="inlineStr">
        <is>
          <t>NOT RUN</t>
        </is>
      </c>
      <c r="K136" s="37" t="inlineStr">
        <is>
          <t>Claude (pending env)</t>
        </is>
      </c>
      <c r="L136" s="37" t="n"/>
      <c r="M136" s="37" t="n"/>
      <c r="N136" s="37" t="inlineStr">
        <is>
          <t>[T4 | Phase 4 | Claude (pending env)] Playwright/authenticated-API against running env. awaiting running staging URL + test accounts</t>
        </is>
      </c>
    </row>
    <row r="137" ht="53.7" customHeight="1" s="29">
      <c r="A137" s="36" t="inlineStr">
        <is>
          <t>MX-EDGE-0135</t>
        </is>
      </c>
      <c r="B137" s="53" t="inlineStr">
        <is>
          <t>P0</t>
        </is>
      </c>
      <c r="C137" s="36" t="inlineStr">
        <is>
          <t>Backend/Edge Fn</t>
        </is>
      </c>
      <c r="D137" s="36" t="inlineStr">
        <is>
          <t>check-and-record-usage — Auth boundary</t>
        </is>
      </c>
      <c r="E137" s="36" t="inlineStr">
        <is>
          <t>Confirms the 'Auth boundary' property of the 'check-and-record-usage' Edge Function. With ~90 functions across two hosts, observability and auth on EACH is what makes incidents debuggable and safe; the 17-day silent-cron outage happened because a function failed unseen.</t>
        </is>
      </c>
      <c r="F137" s="36" t="inlineStr">
        <is>
          <t>Ability to invoke the function (API client) and read its logs on the serving host.</t>
        </is>
      </c>
      <c r="G137" s="36" t="inlineStr">
        <is>
          <t>1) Invoke it without a valid session / with the wrong role (where the function is not deliberately public). (function: check-and-record-usage).</t>
        </is>
      </c>
      <c r="H137" s="36" t="inlineStr">
        <is>
          <t>Rejects unauthorised callers with a structured error (or is deliberately public with an internal auth check).</t>
        </is>
      </c>
      <c r="I137" s="36" t="inlineStr">
        <is>
          <t>Response + log excerpt for check-and-record-usage — Auth boundary</t>
        </is>
      </c>
      <c r="J137" s="41" t="inlineStr">
        <is>
          <t>NOT RUN</t>
        </is>
      </c>
      <c r="K137" s="36" t="inlineStr">
        <is>
          <t>Claude (pending env)</t>
        </is>
      </c>
      <c r="L137" s="36" t="n"/>
      <c r="M137" s="36" t="n"/>
      <c r="N137" s="36" t="inlineStr">
        <is>
          <t>[T4 | Phase 4 | Claude (pending env)] Playwright/authenticated-API against running env. awaiting running staging URL + test accounts</t>
        </is>
      </c>
    </row>
    <row r="138" ht="53.7" customHeight="1" s="29">
      <c r="A138" s="37" t="inlineStr">
        <is>
          <t>MX-EDGE-0136</t>
        </is>
      </c>
      <c r="B138" s="54" t="inlineStr">
        <is>
          <t>P1</t>
        </is>
      </c>
      <c r="C138" s="37" t="inlineStr">
        <is>
          <t>Backend/Edge Fn</t>
        </is>
      </c>
      <c r="D138" s="37" t="inlineStr">
        <is>
          <t>check-and-record-usage — Failure path is graceful</t>
        </is>
      </c>
      <c r="E138" s="37" t="inlineStr">
        <is>
          <t>Confirms the 'Failure path is graceful' property of the 'check-and-record-usage' Edge Function. With ~90 functions across two hosts, observability and auth on EACH is what makes incidents debuggable and safe; the 17-day silent-cron outage happened because a function failed unseen.</t>
        </is>
      </c>
      <c r="F138" s="37" t="inlineStr">
        <is>
          <t>Ability to invoke the function (API client) and read its logs on the serving host.</t>
        </is>
      </c>
      <c r="G138" s="37" t="inlineStr">
        <is>
          <t>1) Force its downstream dependency to fail (bad input or simulated dependency error) and observe. (function: check-and-record-usage).</t>
        </is>
      </c>
      <c r="H138" s="37" t="inlineStr">
        <is>
          <t>Fails gracefully with a structured error and a failure log; no crash, no partial write, no silent success.</t>
        </is>
      </c>
      <c r="I138" s="37" t="inlineStr">
        <is>
          <t>Response + log excerpt for check-and-record-usage — Failure path is graceful</t>
        </is>
      </c>
      <c r="J138" s="43" t="inlineStr">
        <is>
          <t>NOT RUN</t>
        </is>
      </c>
      <c r="K138" s="37" t="inlineStr">
        <is>
          <t>Claude (pending env)</t>
        </is>
      </c>
      <c r="L138" s="37" t="n"/>
      <c r="M138" s="37" t="n"/>
      <c r="N138" s="37" t="inlineStr">
        <is>
          <t>[T4 | Phase 4 | Claude (pending env)] Playwright/authenticated-API against running env. awaiting running staging URL + test accounts</t>
        </is>
      </c>
    </row>
    <row r="139" ht="53.7" customHeight="1" s="29">
      <c r="A139" s="36" t="inlineStr">
        <is>
          <t>MX-EDGE-0137</t>
        </is>
      </c>
      <c r="B139" s="54" t="inlineStr">
        <is>
          <t>P1</t>
        </is>
      </c>
      <c r="C139" s="36" t="inlineStr">
        <is>
          <t>Backend/Edge Fn</t>
        </is>
      </c>
      <c r="D139" s="36" t="inlineStr">
        <is>
          <t>super-admin-observability — Happy-path smoke</t>
        </is>
      </c>
      <c r="E139" s="36" t="inlineStr">
        <is>
          <t>Confirms the 'Happy-path smoke' property of the 'super-admin-observability' Edge Function. With ~90 functions across two hosts, observability and auth on EACH is what makes incidents debuggable and safe; the 17-day silent-cron outage happened because a function failed unseen.</t>
        </is>
      </c>
      <c r="F139" s="36" t="inlineStr">
        <is>
          <t>Ability to invoke the function (API client) and read its logs on the serving host.</t>
        </is>
      </c>
      <c r="G139" s="36" t="inlineStr">
        <is>
          <t>1) Invoke the function with a valid request and confirm a correct 2xx response and expected side effect. (function: super-admin-observability).</t>
        </is>
      </c>
      <c r="H139" s="36" t="inlineStr">
        <is>
          <t>Returns success; performs its intended effect; no error.</t>
        </is>
      </c>
      <c r="I139" s="36" t="inlineStr">
        <is>
          <t>Response + log excerpt for super-admin-observability — Happy-path smoke</t>
        </is>
      </c>
      <c r="J139" s="41" t="inlineStr">
        <is>
          <t>NOT RUN</t>
        </is>
      </c>
      <c r="K139" s="36" t="inlineStr">
        <is>
          <t>Claude (pending env)</t>
        </is>
      </c>
      <c r="L139" s="36" t="n"/>
      <c r="M139" s="36" t="n"/>
      <c r="N139" s="36" t="inlineStr">
        <is>
          <t>[T4 | Phase 4 | Claude (pending env)] Playwright/authenticated-API against running env. awaiting running staging URL + test accounts</t>
        </is>
      </c>
    </row>
    <row r="140" ht="64.15000000000001" customHeight="1" s="29">
      <c r="A140" s="37" t="inlineStr">
        <is>
          <t>MX-EDGE-0138</t>
        </is>
      </c>
      <c r="B140" s="54" t="inlineStr">
        <is>
          <t>P1</t>
        </is>
      </c>
      <c r="C140" s="37" t="inlineStr">
        <is>
          <t>Backend/Edge Fn</t>
        </is>
      </c>
      <c r="D140" s="37" t="inlineStr">
        <is>
          <t>super-admin-observability — Structured start/success/failure logs + correlation ID</t>
        </is>
      </c>
      <c r="E140" s="37" t="inlineStr">
        <is>
          <t>Confirms the 'Structured start/success/failure logs + correlation ID' property of the 'super-admin-observability' Edge Function. With ~90 functions across two hosts, observability and auth on EACH is what makes incidents debuggable and safe; the 17-day silent-cron outage happened because a function failed unseen.</t>
        </is>
      </c>
      <c r="F140" s="37" t="inlineStr">
        <is>
          <t>Ability to invoke the function (API client) and read its logs on the serving host.</t>
        </is>
      </c>
      <c r="G140" s="37" t="inlineStr">
        <is>
          <t>1) Invoke it and inspect logs; confirm a start log, a terminal (success/failure) log, and a correlation ID that ties them together, plus a host tag. (function: super-admin-observability).</t>
        </is>
      </c>
      <c r="H140" s="37" t="inlineStr">
        <is>
          <t>Start + terminal logs present, sharing a correlation ID and host tag.</t>
        </is>
      </c>
      <c r="I140" s="37" t="inlineStr">
        <is>
          <t>Response + log excerpt for super-admin-observability — Structured start/success/failure logs + correlation ID</t>
        </is>
      </c>
      <c r="J140" s="43" t="inlineStr">
        <is>
          <t>NOT RUN</t>
        </is>
      </c>
      <c r="K140" s="37" t="inlineStr">
        <is>
          <t>Claude (pending env)</t>
        </is>
      </c>
      <c r="L140" s="37" t="n"/>
      <c r="M140" s="37" t="n"/>
      <c r="N140" s="37" t="inlineStr">
        <is>
          <t>[T4 | Phase 4 | Claude (pending env)] Playwright/authenticated-API against running env. awaiting running staging URL + test accounts</t>
        </is>
      </c>
    </row>
    <row r="141" ht="53.7" customHeight="1" s="29">
      <c r="A141" s="36" t="inlineStr">
        <is>
          <t>MX-EDGE-0139</t>
        </is>
      </c>
      <c r="B141" s="53" t="inlineStr">
        <is>
          <t>P0</t>
        </is>
      </c>
      <c r="C141" s="36" t="inlineStr">
        <is>
          <t>Backend/Edge Fn</t>
        </is>
      </c>
      <c r="D141" s="36" t="inlineStr">
        <is>
          <t>super-admin-observability — Auth boundary</t>
        </is>
      </c>
      <c r="E141" s="36" t="inlineStr">
        <is>
          <t>Confirms the 'Auth boundary' property of the 'super-admin-observability' Edge Function. With ~90 functions across two hosts, observability and auth on EACH is what makes incidents debuggable and safe; the 17-day silent-cron outage happened because a function failed unseen.</t>
        </is>
      </c>
      <c r="F141" s="36" t="inlineStr">
        <is>
          <t>Ability to invoke the function (API client) and read its logs on the serving host.</t>
        </is>
      </c>
      <c r="G141" s="36" t="inlineStr">
        <is>
          <t>1) Invoke it without a valid session / with the wrong role (where the function is not deliberately public). (function: super-admin-observability).</t>
        </is>
      </c>
      <c r="H141" s="36" t="inlineStr">
        <is>
          <t>Rejects unauthorised callers with a structured error (or is deliberately public with an internal auth check).</t>
        </is>
      </c>
      <c r="I141" s="36" t="inlineStr">
        <is>
          <t>Response + log excerpt for super-admin-observability — Auth boundary</t>
        </is>
      </c>
      <c r="J141" s="41" t="inlineStr">
        <is>
          <t>NOT RUN</t>
        </is>
      </c>
      <c r="K141" s="36" t="inlineStr">
        <is>
          <t>Claude (pending env)</t>
        </is>
      </c>
      <c r="L141" s="36" t="n"/>
      <c r="M141" s="36" t="n"/>
      <c r="N141" s="36" t="inlineStr">
        <is>
          <t>[T4 | Phase 4 | Claude (pending env)] Playwright/authenticated-API against running env. awaiting running staging URL + test accounts</t>
        </is>
      </c>
    </row>
    <row r="142" ht="53.7" customHeight="1" s="29">
      <c r="A142" s="37" t="inlineStr">
        <is>
          <t>MX-EDGE-0140</t>
        </is>
      </c>
      <c r="B142" s="54" t="inlineStr">
        <is>
          <t>P1</t>
        </is>
      </c>
      <c r="C142" s="37" t="inlineStr">
        <is>
          <t>Backend/Edge Fn</t>
        </is>
      </c>
      <c r="D142" s="37" t="inlineStr">
        <is>
          <t>super-admin-observability — Failure path is graceful</t>
        </is>
      </c>
      <c r="E142" s="37" t="inlineStr">
        <is>
          <t>Confirms the 'Failure path is graceful' property of the 'super-admin-observability' Edge Function. With ~90 functions across two hosts, observability and auth on EACH is what makes incidents debuggable and safe; the 17-day silent-cron outage happened because a function failed unseen.</t>
        </is>
      </c>
      <c r="F142" s="37" t="inlineStr">
        <is>
          <t>Ability to invoke the function (API client) and read its logs on the serving host.</t>
        </is>
      </c>
      <c r="G142" s="37" t="inlineStr">
        <is>
          <t>1) Force its downstream dependency to fail (bad input or simulated dependency error) and observe. (function: super-admin-observability).</t>
        </is>
      </c>
      <c r="H142" s="37" t="inlineStr">
        <is>
          <t>Fails gracefully with a structured error and a failure log; no crash, no partial write, no silent success.</t>
        </is>
      </c>
      <c r="I142" s="37" t="inlineStr">
        <is>
          <t>Response + log excerpt for super-admin-observability — Failure path is graceful</t>
        </is>
      </c>
      <c r="J142" s="43" t="inlineStr">
        <is>
          <t>NOT RUN</t>
        </is>
      </c>
      <c r="K142" s="37" t="inlineStr">
        <is>
          <t>Claude (pending env)</t>
        </is>
      </c>
      <c r="L142" s="37" t="n"/>
      <c r="M142" s="37" t="n"/>
      <c r="N142" s="37" t="inlineStr">
        <is>
          <t>[T4 | Phase 4 | Claude (pending env)] Playwright/authenticated-API against running env. awaiting running staging URL + test accounts</t>
        </is>
      </c>
    </row>
    <row r="143" ht="53.7" customHeight="1" s="29">
      <c r="A143" s="36" t="inlineStr">
        <is>
          <t>MX-EDGE-0141</t>
        </is>
      </c>
      <c r="B143" s="54" t="inlineStr">
        <is>
          <t>P1</t>
        </is>
      </c>
      <c r="C143" s="36" t="inlineStr">
        <is>
          <t>Backend/Edge Fn</t>
        </is>
      </c>
      <c r="D143" s="36" t="inlineStr">
        <is>
          <t>impersonation — Happy-path smoke</t>
        </is>
      </c>
      <c r="E143" s="36" t="inlineStr">
        <is>
          <t>Confirms the 'Happy-path smoke' property of the 'impersonation' Edge Function. With ~90 functions across two hosts, observability and auth on EACH is what makes incidents debuggable and safe; the 17-day silent-cron outage happened because a function failed unseen.</t>
        </is>
      </c>
      <c r="F143" s="36" t="inlineStr">
        <is>
          <t>Ability to invoke the function (API client) and read its logs on the serving host.</t>
        </is>
      </c>
      <c r="G143" s="36" t="inlineStr">
        <is>
          <t>1) Invoke the function with a valid request and confirm a correct 2xx response and expected side effect. (function: impersonation).</t>
        </is>
      </c>
      <c r="H143" s="36" t="inlineStr">
        <is>
          <t>Returns success; performs its intended effect; no error.</t>
        </is>
      </c>
      <c r="I143" s="36" t="inlineStr">
        <is>
          <t>Response + log excerpt for impersonation — Happy-path smoke</t>
        </is>
      </c>
      <c r="J143" s="41" t="inlineStr">
        <is>
          <t>NOT RUN</t>
        </is>
      </c>
      <c r="K143" s="36" t="inlineStr">
        <is>
          <t>Claude (pending env)</t>
        </is>
      </c>
      <c r="L143" s="36" t="n"/>
      <c r="M143" s="36" t="n"/>
      <c r="N143" s="36" t="inlineStr">
        <is>
          <t>[T4 | Phase 4 | Claude (pending env)] Playwright/authenticated-API against running env. awaiting running staging URL + test accounts</t>
        </is>
      </c>
    </row>
    <row r="144" ht="53.7" customHeight="1" s="29">
      <c r="A144" s="37" t="inlineStr">
        <is>
          <t>MX-EDGE-0142</t>
        </is>
      </c>
      <c r="B144" s="54" t="inlineStr">
        <is>
          <t>P1</t>
        </is>
      </c>
      <c r="C144" s="37" t="inlineStr">
        <is>
          <t>Backend/Edge Fn</t>
        </is>
      </c>
      <c r="D144" s="37" t="inlineStr">
        <is>
          <t>impersonation — Structured start/success/failure logs + correlation ID</t>
        </is>
      </c>
      <c r="E144" s="37" t="inlineStr">
        <is>
          <t>Confirms the 'Structured start/success/failure logs + correlation ID' property of the 'impersonation' Edge Function. With ~90 functions across two hosts, observability and auth on EACH is what makes incidents debuggable and safe; the 17-day silent-cron outage happened because a function failed unseen.</t>
        </is>
      </c>
      <c r="F144" s="37" t="inlineStr">
        <is>
          <t>Ability to invoke the function (API client) and read its logs on the serving host.</t>
        </is>
      </c>
      <c r="G144" s="37" t="inlineStr">
        <is>
          <t>1) Invoke it and inspect logs; confirm a start log, a terminal (success/failure) log, and a correlation ID that ties them together, plus a host tag. (function: impersonation).</t>
        </is>
      </c>
      <c r="H144" s="37" t="inlineStr">
        <is>
          <t>Start + terminal logs present, sharing a correlation ID and host tag.</t>
        </is>
      </c>
      <c r="I144" s="37" t="inlineStr">
        <is>
          <t>Response + log excerpt for impersonation — Structured start/success/failure logs + correlation ID</t>
        </is>
      </c>
      <c r="J144" s="43" t="inlineStr">
        <is>
          <t>NOT RUN</t>
        </is>
      </c>
      <c r="K144" s="37" t="inlineStr">
        <is>
          <t>Claude (pending env)</t>
        </is>
      </c>
      <c r="L144" s="37" t="n"/>
      <c r="M144" s="37" t="n"/>
      <c r="N144" s="37" t="inlineStr">
        <is>
          <t>[T4 | Phase 4 | Claude (pending env)] Playwright/authenticated-API against running env. awaiting running staging URL + test accounts</t>
        </is>
      </c>
    </row>
    <row r="145" ht="53.7" customHeight="1" s="29">
      <c r="A145" s="36" t="inlineStr">
        <is>
          <t>MX-EDGE-0143</t>
        </is>
      </c>
      <c r="B145" s="53" t="inlineStr">
        <is>
          <t>P0</t>
        </is>
      </c>
      <c r="C145" s="36" t="inlineStr">
        <is>
          <t>Backend/Edge Fn</t>
        </is>
      </c>
      <c r="D145" s="36" t="inlineStr">
        <is>
          <t>impersonation — Auth boundary</t>
        </is>
      </c>
      <c r="E145" s="36" t="inlineStr">
        <is>
          <t>Confirms the 'Auth boundary' property of the 'impersonation' Edge Function. With ~90 functions across two hosts, observability and auth on EACH is what makes incidents debuggable and safe; the 17-day silent-cron outage happened because a function failed unseen.</t>
        </is>
      </c>
      <c r="F145" s="36" t="inlineStr">
        <is>
          <t>Ability to invoke the function (API client) and read its logs on the serving host.</t>
        </is>
      </c>
      <c r="G145" s="36" t="inlineStr">
        <is>
          <t>1) Invoke it without a valid session / with the wrong role (where the function is not deliberately public). (function: impersonation).</t>
        </is>
      </c>
      <c r="H145" s="36" t="inlineStr">
        <is>
          <t>Rejects unauthorised callers with a structured error (or is deliberately public with an internal auth check).</t>
        </is>
      </c>
      <c r="I145" s="36" t="inlineStr">
        <is>
          <t>Response + log excerpt for impersonation — Auth boundary</t>
        </is>
      </c>
      <c r="J145" s="41" t="inlineStr">
        <is>
          <t>NOT RUN</t>
        </is>
      </c>
      <c r="K145" s="36" t="inlineStr">
        <is>
          <t>Claude (pending env)</t>
        </is>
      </c>
      <c r="L145" s="36" t="n"/>
      <c r="M145" s="36" t="n"/>
      <c r="N145" s="36" t="inlineStr">
        <is>
          <t>[T4 | Phase 4 | Claude (pending env)] Playwright/authenticated-API against running env. awaiting running staging URL + test accounts</t>
        </is>
      </c>
    </row>
    <row r="146" ht="53.7" customHeight="1" s="29">
      <c r="A146" s="37" t="inlineStr">
        <is>
          <t>MX-EDGE-0144</t>
        </is>
      </c>
      <c r="B146" s="54" t="inlineStr">
        <is>
          <t>P1</t>
        </is>
      </c>
      <c r="C146" s="37" t="inlineStr">
        <is>
          <t>Backend/Edge Fn</t>
        </is>
      </c>
      <c r="D146" s="37" t="inlineStr">
        <is>
          <t>impersonation — Failure path is graceful</t>
        </is>
      </c>
      <c r="E146" s="37" t="inlineStr">
        <is>
          <t>Confirms the 'Failure path is graceful' property of the 'impersonation' Edge Function. With ~90 functions across two hosts, observability and auth on EACH is what makes incidents debuggable and safe; the 17-day silent-cron outage happened because a function failed unseen.</t>
        </is>
      </c>
      <c r="F146" s="37" t="inlineStr">
        <is>
          <t>Ability to invoke the function (API client) and read its logs on the serving host.</t>
        </is>
      </c>
      <c r="G146" s="37" t="inlineStr">
        <is>
          <t>1) Force its downstream dependency to fail (bad input or simulated dependency error) and observe. (function: impersonation).</t>
        </is>
      </c>
      <c r="H146" s="37" t="inlineStr">
        <is>
          <t>Fails gracefully with a structured error and a failure log; no crash, no partial write, no silent success.</t>
        </is>
      </c>
      <c r="I146" s="37" t="inlineStr">
        <is>
          <t>Response + log excerpt for impersonation — Failure path is graceful</t>
        </is>
      </c>
      <c r="J146" s="43" t="inlineStr">
        <is>
          <t>NOT RUN</t>
        </is>
      </c>
      <c r="K146" s="37" t="inlineStr">
        <is>
          <t>Claude (pending env)</t>
        </is>
      </c>
      <c r="L146" s="37" t="n"/>
      <c r="M146" s="37" t="n"/>
      <c r="N146" s="37" t="inlineStr">
        <is>
          <t>[T4 | Phase 4 | Claude (pending env)] Playwright/authenticated-API against running env. awaiting running staging URL + test accounts</t>
        </is>
      </c>
    </row>
    <row r="147" ht="53.7" customHeight="1" s="29">
      <c r="A147" s="36" t="inlineStr">
        <is>
          <t>MX-EDGE-0145</t>
        </is>
      </c>
      <c r="B147" s="54" t="inlineStr">
        <is>
          <t>P1</t>
        </is>
      </c>
      <c r="C147" s="36" t="inlineStr">
        <is>
          <t>Backend/Edge Fn</t>
        </is>
      </c>
      <c r="D147" s="36" t="inlineStr">
        <is>
          <t>ai-cost-aggregator — Happy-path smoke</t>
        </is>
      </c>
      <c r="E147" s="36" t="inlineStr">
        <is>
          <t>Confirms the 'Happy-path smoke' property of the 'ai-cost-aggregator' Edge Function. With ~90 functions across two hosts, observability and auth on EACH is what makes incidents debuggable and safe; the 17-day silent-cron outage happened because a function failed unseen.</t>
        </is>
      </c>
      <c r="F147" s="36" t="inlineStr">
        <is>
          <t>Ability to invoke the function (API client) and read its logs on the serving host.</t>
        </is>
      </c>
      <c r="G147" s="36" t="inlineStr">
        <is>
          <t>1) Invoke the function with a valid request and confirm a correct 2xx response and expected side effect. (function: ai-cost-aggregator).</t>
        </is>
      </c>
      <c r="H147" s="36" t="inlineStr">
        <is>
          <t>Returns success; performs its intended effect; no error.</t>
        </is>
      </c>
      <c r="I147" s="36" t="inlineStr">
        <is>
          <t>Response + log excerpt for ai-cost-aggregator — Happy-path smoke</t>
        </is>
      </c>
      <c r="J147" s="41" t="inlineStr">
        <is>
          <t>NOT RUN</t>
        </is>
      </c>
      <c r="K147" s="36" t="inlineStr">
        <is>
          <t>Claude (pending env)</t>
        </is>
      </c>
      <c r="L147" s="36" t="n"/>
      <c r="M147" s="36" t="n"/>
      <c r="N147" s="36" t="inlineStr">
        <is>
          <t>[T4 | Phase 4 | Claude (pending env)] Playwright/authenticated-API against running env. awaiting running staging URL + test accounts</t>
        </is>
      </c>
    </row>
    <row r="148" ht="53.7" customHeight="1" s="29">
      <c r="A148" s="37" t="inlineStr">
        <is>
          <t>MX-EDGE-0146</t>
        </is>
      </c>
      <c r="B148" s="54" t="inlineStr">
        <is>
          <t>P1</t>
        </is>
      </c>
      <c r="C148" s="37" t="inlineStr">
        <is>
          <t>Backend/Edge Fn</t>
        </is>
      </c>
      <c r="D148" s="37" t="inlineStr">
        <is>
          <t>ai-cost-aggregator — Structured start/success/failure logs + correlation ID</t>
        </is>
      </c>
      <c r="E148" s="37" t="inlineStr">
        <is>
          <t>Confirms the 'Structured start/success/failure logs + correlation ID' property of the 'ai-cost-aggregator' Edge Function. With ~90 functions across two hosts, observability and auth on EACH is what makes incidents debuggable and safe; the 17-day silent-cron outage happened because a function failed unseen.</t>
        </is>
      </c>
      <c r="F148" s="37" t="inlineStr">
        <is>
          <t>Ability to invoke the function (API client) and read its logs on the serving host.</t>
        </is>
      </c>
      <c r="G148" s="37" t="inlineStr">
        <is>
          <t>1) Invoke it and inspect logs; confirm a start log, a terminal (success/failure) log, and a correlation ID that ties them together, plus a host tag. (function: ai-cost-aggregator).</t>
        </is>
      </c>
      <c r="H148" s="37" t="inlineStr">
        <is>
          <t>Start + terminal logs present, sharing a correlation ID and host tag.</t>
        </is>
      </c>
      <c r="I148" s="37" t="inlineStr">
        <is>
          <t>Response + log excerpt for ai-cost-aggregator — Structured start/success/failure logs + correlation ID</t>
        </is>
      </c>
      <c r="J148" s="43" t="inlineStr">
        <is>
          <t>NOT RUN</t>
        </is>
      </c>
      <c r="K148" s="37" t="inlineStr">
        <is>
          <t>Claude (pending env)</t>
        </is>
      </c>
      <c r="L148" s="37" t="n"/>
      <c r="M148" s="37" t="n"/>
      <c r="N148" s="37" t="inlineStr">
        <is>
          <t>[T4 | Phase 4 | Claude (pending env)] Playwright/authenticated-API against running env. awaiting running staging URL + test accounts</t>
        </is>
      </c>
    </row>
    <row r="149" ht="53.7" customHeight="1" s="29">
      <c r="A149" s="36" t="inlineStr">
        <is>
          <t>MX-EDGE-0147</t>
        </is>
      </c>
      <c r="B149" s="53" t="inlineStr">
        <is>
          <t>P0</t>
        </is>
      </c>
      <c r="C149" s="36" t="inlineStr">
        <is>
          <t>Backend/Edge Fn</t>
        </is>
      </c>
      <c r="D149" s="36" t="inlineStr">
        <is>
          <t>ai-cost-aggregator — Auth boundary</t>
        </is>
      </c>
      <c r="E149" s="36" t="inlineStr">
        <is>
          <t>Confirms the 'Auth boundary' property of the 'ai-cost-aggregator' Edge Function. With ~90 functions across two hosts, observability and auth on EACH is what makes incidents debuggable and safe; the 17-day silent-cron outage happened because a function failed unseen.</t>
        </is>
      </c>
      <c r="F149" s="36" t="inlineStr">
        <is>
          <t>Ability to invoke the function (API client) and read its logs on the serving host.</t>
        </is>
      </c>
      <c r="G149" s="36" t="inlineStr">
        <is>
          <t>1) Invoke it without a valid session / with the wrong role (where the function is not deliberately public). (function: ai-cost-aggregator).</t>
        </is>
      </c>
      <c r="H149" s="36" t="inlineStr">
        <is>
          <t>Rejects unauthorised callers with a structured error (or is deliberately public with an internal auth check).</t>
        </is>
      </c>
      <c r="I149" s="36" t="inlineStr">
        <is>
          <t>Response + log excerpt for ai-cost-aggregator — Auth boundary</t>
        </is>
      </c>
      <c r="J149" s="41" t="inlineStr">
        <is>
          <t>NOT RUN</t>
        </is>
      </c>
      <c r="K149" s="36" t="inlineStr">
        <is>
          <t>Claude (pending env)</t>
        </is>
      </c>
      <c r="L149" s="36" t="n"/>
      <c r="M149" s="36" t="n"/>
      <c r="N149" s="36" t="inlineStr">
        <is>
          <t>[T4 | Phase 4 | Claude (pending env)] Playwright/authenticated-API against running env. awaiting running staging URL + test accounts</t>
        </is>
      </c>
    </row>
    <row r="150" ht="53.7" customHeight="1" s="29">
      <c r="A150" s="37" t="inlineStr">
        <is>
          <t>MX-EDGE-0148</t>
        </is>
      </c>
      <c r="B150" s="54" t="inlineStr">
        <is>
          <t>P1</t>
        </is>
      </c>
      <c r="C150" s="37" t="inlineStr">
        <is>
          <t>Backend/Edge Fn</t>
        </is>
      </c>
      <c r="D150" s="37" t="inlineStr">
        <is>
          <t>ai-cost-aggregator — Failure path is graceful</t>
        </is>
      </c>
      <c r="E150" s="37" t="inlineStr">
        <is>
          <t>Confirms the 'Failure path is graceful' property of the 'ai-cost-aggregator' Edge Function. With ~90 functions across two hosts, observability and auth on EACH is what makes incidents debuggable and safe; the 17-day silent-cron outage happened because a function failed unseen.</t>
        </is>
      </c>
      <c r="F150" s="37" t="inlineStr">
        <is>
          <t>Ability to invoke the function (API client) and read its logs on the serving host.</t>
        </is>
      </c>
      <c r="G150" s="37" t="inlineStr">
        <is>
          <t>1) Force its downstream dependency to fail (bad input or simulated dependency error) and observe. (function: ai-cost-aggregator).</t>
        </is>
      </c>
      <c r="H150" s="37" t="inlineStr">
        <is>
          <t>Fails gracefully with a structured error and a failure log; no crash, no partial write, no silent success.</t>
        </is>
      </c>
      <c r="I150" s="37" t="inlineStr">
        <is>
          <t>Response + log excerpt for ai-cost-aggregator — Failure path is graceful</t>
        </is>
      </c>
      <c r="J150" s="43" t="inlineStr">
        <is>
          <t>NOT RUN</t>
        </is>
      </c>
      <c r="K150" s="37" t="inlineStr">
        <is>
          <t>Claude (pending env)</t>
        </is>
      </c>
      <c r="L150" s="37" t="n"/>
      <c r="M150" s="37" t="n"/>
      <c r="N150" s="37" t="inlineStr">
        <is>
          <t>[T4 | Phase 4 | Claude (pending env)] Playwright/authenticated-API against running env. awaiting running staging URL + test accounts</t>
        </is>
      </c>
    </row>
    <row r="151" ht="53.7" customHeight="1" s="29">
      <c r="A151" s="36" t="inlineStr">
        <is>
          <t>MX-EDGE-0149</t>
        </is>
      </c>
      <c r="B151" s="54" t="inlineStr">
        <is>
          <t>P1</t>
        </is>
      </c>
      <c r="C151" s="36" t="inlineStr">
        <is>
          <t>Backend/Edge Fn</t>
        </is>
      </c>
      <c r="D151" s="36" t="inlineStr">
        <is>
          <t>synthetic-host-monitor — Happy-path smoke</t>
        </is>
      </c>
      <c r="E151" s="36" t="inlineStr">
        <is>
          <t>Confirms the 'Happy-path smoke' property of the 'synthetic-host-monitor' Edge Function. With ~90 functions across two hosts, observability and auth on EACH is what makes incidents debuggable and safe; the 17-day silent-cron outage happened because a function failed unseen.</t>
        </is>
      </c>
      <c r="F151" s="36" t="inlineStr">
        <is>
          <t>Ability to invoke the function (API client) and read its logs on the serving host.</t>
        </is>
      </c>
      <c r="G151" s="36" t="inlineStr">
        <is>
          <t>1) Invoke the function with a valid request and confirm a correct 2xx response and expected side effect. (function: synthetic-host-monitor).</t>
        </is>
      </c>
      <c r="H151" s="36" t="inlineStr">
        <is>
          <t>Returns success; performs its intended effect; no error.</t>
        </is>
      </c>
      <c r="I151" s="36" t="inlineStr">
        <is>
          <t>Response + log excerpt for synthetic-host-monitor — Happy-path smoke</t>
        </is>
      </c>
      <c r="J151" s="41" t="inlineStr">
        <is>
          <t>NOT RUN</t>
        </is>
      </c>
      <c r="K151" s="36" t="inlineStr">
        <is>
          <t>Claude (pending env)</t>
        </is>
      </c>
      <c r="L151" s="36" t="n"/>
      <c r="M151" s="36" t="n"/>
      <c r="N151" s="36" t="inlineStr">
        <is>
          <t>[T4 | Phase 4 | Claude (pending env)] Playwright/authenticated-API against running env. awaiting running staging URL + test accounts</t>
        </is>
      </c>
    </row>
    <row r="152" ht="53.7" customHeight="1" s="29">
      <c r="A152" s="37" t="inlineStr">
        <is>
          <t>MX-EDGE-0150</t>
        </is>
      </c>
      <c r="B152" s="54" t="inlineStr">
        <is>
          <t>P1</t>
        </is>
      </c>
      <c r="C152" s="37" t="inlineStr">
        <is>
          <t>Backend/Edge Fn</t>
        </is>
      </c>
      <c r="D152" s="37" t="inlineStr">
        <is>
          <t>synthetic-host-monitor — Structured start/success/failure logs + correlation ID</t>
        </is>
      </c>
      <c r="E152" s="37" t="inlineStr">
        <is>
          <t>Confirms the 'Structured start/success/failure logs + correlation ID' property of the 'synthetic-host-monitor' Edge Function. With ~90 functions across two hosts, observability and auth on EACH is what makes incidents debuggable and safe; the 17-day silent-cron outage happened because a function failed unseen.</t>
        </is>
      </c>
      <c r="F152" s="37" t="inlineStr">
        <is>
          <t>Ability to invoke the function (API client) and read its logs on the serving host.</t>
        </is>
      </c>
      <c r="G152" s="37" t="inlineStr">
        <is>
          <t>1) Invoke it and inspect logs; confirm a start log, a terminal (success/failure) log, and a correlation ID that ties them together, plus a host tag. (function: synthetic-host-monitor).</t>
        </is>
      </c>
      <c r="H152" s="37" t="inlineStr">
        <is>
          <t>Start + terminal logs present, sharing a correlation ID and host tag.</t>
        </is>
      </c>
      <c r="I152" s="37" t="inlineStr">
        <is>
          <t>Response + log excerpt for synthetic-host-monitor — Structured start/success/failure logs + correlation ID</t>
        </is>
      </c>
      <c r="J152" s="43" t="inlineStr">
        <is>
          <t>NOT RUN</t>
        </is>
      </c>
      <c r="K152" s="37" t="inlineStr">
        <is>
          <t>Claude (pending env)</t>
        </is>
      </c>
      <c r="L152" s="37" t="n"/>
      <c r="M152" s="37" t="n"/>
      <c r="N152" s="37" t="inlineStr">
        <is>
          <t>[T4 | Phase 4 | Claude (pending env)] Playwright/authenticated-API against running env. awaiting running staging URL + test accounts</t>
        </is>
      </c>
    </row>
    <row r="153" ht="53.7" customHeight="1" s="29">
      <c r="A153" s="36" t="inlineStr">
        <is>
          <t>MX-EDGE-0151</t>
        </is>
      </c>
      <c r="B153" s="53" t="inlineStr">
        <is>
          <t>P0</t>
        </is>
      </c>
      <c r="C153" s="36" t="inlineStr">
        <is>
          <t>Backend/Edge Fn</t>
        </is>
      </c>
      <c r="D153" s="36" t="inlineStr">
        <is>
          <t>synthetic-host-monitor — Auth boundary</t>
        </is>
      </c>
      <c r="E153" s="36" t="inlineStr">
        <is>
          <t>Confirms the 'Auth boundary' property of the 'synthetic-host-monitor' Edge Function. With ~90 functions across two hosts, observability and auth on EACH is what makes incidents debuggable and safe; the 17-day silent-cron outage happened because a function failed unseen.</t>
        </is>
      </c>
      <c r="F153" s="36" t="inlineStr">
        <is>
          <t>Ability to invoke the function (API client) and read its logs on the serving host.</t>
        </is>
      </c>
      <c r="G153" s="36" t="inlineStr">
        <is>
          <t>1) Invoke it without a valid session / with the wrong role (where the function is not deliberately public). (function: synthetic-host-monitor).</t>
        </is>
      </c>
      <c r="H153" s="36" t="inlineStr">
        <is>
          <t>Rejects unauthorised callers with a structured error (or is deliberately public with an internal auth check).</t>
        </is>
      </c>
      <c r="I153" s="36" t="inlineStr">
        <is>
          <t>Response + log excerpt for synthetic-host-monitor — Auth boundary</t>
        </is>
      </c>
      <c r="J153" s="41" t="inlineStr">
        <is>
          <t>NOT RUN</t>
        </is>
      </c>
      <c r="K153" s="36" t="inlineStr">
        <is>
          <t>Claude (pending env)</t>
        </is>
      </c>
      <c r="L153" s="36" t="n"/>
      <c r="M153" s="36" t="n"/>
      <c r="N153" s="36" t="inlineStr">
        <is>
          <t>[T4 | Phase 4 | Claude (pending env)] Playwright/authenticated-API against running env. awaiting running staging URL + test accounts</t>
        </is>
      </c>
    </row>
    <row r="154" ht="53.7" customHeight="1" s="29">
      <c r="A154" s="37" t="inlineStr">
        <is>
          <t>MX-EDGE-0152</t>
        </is>
      </c>
      <c r="B154" s="54" t="inlineStr">
        <is>
          <t>P1</t>
        </is>
      </c>
      <c r="C154" s="37" t="inlineStr">
        <is>
          <t>Backend/Edge Fn</t>
        </is>
      </c>
      <c r="D154" s="37" t="inlineStr">
        <is>
          <t>synthetic-host-monitor — Failure path is graceful</t>
        </is>
      </c>
      <c r="E154" s="37" t="inlineStr">
        <is>
          <t>Confirms the 'Failure path is graceful' property of the 'synthetic-host-monitor' Edge Function. With ~90 functions across two hosts, observability and auth on EACH is what makes incidents debuggable and safe; the 17-day silent-cron outage happened because a function failed unseen.</t>
        </is>
      </c>
      <c r="F154" s="37" t="inlineStr">
        <is>
          <t>Ability to invoke the function (API client) and read its logs on the serving host.</t>
        </is>
      </c>
      <c r="G154" s="37" t="inlineStr">
        <is>
          <t>1) Force its downstream dependency to fail (bad input or simulated dependency error) and observe. (function: synthetic-host-monitor).</t>
        </is>
      </c>
      <c r="H154" s="37" t="inlineStr">
        <is>
          <t>Fails gracefully with a structured error and a failure log; no crash, no partial write, no silent success.</t>
        </is>
      </c>
      <c r="I154" s="37" t="inlineStr">
        <is>
          <t>Response + log excerpt for synthetic-host-monitor — Failure path is graceful</t>
        </is>
      </c>
      <c r="J154" s="43" t="inlineStr">
        <is>
          <t>NOT RUN</t>
        </is>
      </c>
      <c r="K154" s="37" t="inlineStr">
        <is>
          <t>Claude (pending env)</t>
        </is>
      </c>
      <c r="L154" s="37" t="n"/>
      <c r="M154" s="37" t="n"/>
      <c r="N154" s="37" t="inlineStr">
        <is>
          <t>[T4 | Phase 4 | Claude (pending env)] Playwright/authenticated-API against running env. awaiting running staging URL + test accounts</t>
        </is>
      </c>
    </row>
    <row r="155" ht="53.7" customHeight="1" s="29">
      <c r="A155" s="36" t="inlineStr">
        <is>
          <t>MX-EDGE-0153</t>
        </is>
      </c>
      <c r="B155" s="54" t="inlineStr">
        <is>
          <t>P1</t>
        </is>
      </c>
      <c r="C155" s="36" t="inlineStr">
        <is>
          <t>Backend/Edge Fn</t>
        </is>
      </c>
      <c r="D155" s="36" t="inlineStr">
        <is>
          <t>alert-dispatcher — Happy-path smoke</t>
        </is>
      </c>
      <c r="E155" s="36" t="inlineStr">
        <is>
          <t>Confirms the 'Happy-path smoke' property of the 'alert-dispatcher' Edge Function. With ~90 functions across two hosts, observability and auth on EACH is what makes incidents debuggable and safe; the 17-day silent-cron outage happened because a function failed unseen.</t>
        </is>
      </c>
      <c r="F155" s="36" t="inlineStr">
        <is>
          <t>Ability to invoke the function (API client) and read its logs on the serving host.</t>
        </is>
      </c>
      <c r="G155" s="36" t="inlineStr">
        <is>
          <t>1) Invoke the function with a valid request and confirm a correct 2xx response and expected side effect. (function: alert-dispatcher).</t>
        </is>
      </c>
      <c r="H155" s="36" t="inlineStr">
        <is>
          <t>Returns success; performs its intended effect; no error.</t>
        </is>
      </c>
      <c r="I155" s="36" t="inlineStr">
        <is>
          <t>Response + log excerpt for alert-dispatcher — Happy-path smoke</t>
        </is>
      </c>
      <c r="J155" s="41" t="inlineStr">
        <is>
          <t>NOT RUN</t>
        </is>
      </c>
      <c r="K155" s="36" t="inlineStr">
        <is>
          <t>Claude (pending env)</t>
        </is>
      </c>
      <c r="L155" s="36" t="n"/>
      <c r="M155" s="36" t="n"/>
      <c r="N155" s="36" t="inlineStr">
        <is>
          <t>[T4 | Phase 4 | Claude (pending env)] Playwright/authenticated-API against running env. awaiting running staging URL + test accounts</t>
        </is>
      </c>
    </row>
    <row r="156" ht="53.7" customHeight="1" s="29">
      <c r="A156" s="37" t="inlineStr">
        <is>
          <t>MX-EDGE-0154</t>
        </is>
      </c>
      <c r="B156" s="54" t="inlineStr">
        <is>
          <t>P1</t>
        </is>
      </c>
      <c r="C156" s="37" t="inlineStr">
        <is>
          <t>Backend/Edge Fn</t>
        </is>
      </c>
      <c r="D156" s="37" t="inlineStr">
        <is>
          <t>alert-dispatcher — Structured start/success/failure logs + correlation ID</t>
        </is>
      </c>
      <c r="E156" s="37" t="inlineStr">
        <is>
          <t>Confirms the 'Structured start/success/failure logs + correlation ID' property of the 'alert-dispatcher' Edge Function. With ~90 functions across two hosts, observability and auth on EACH is what makes incidents debuggable and safe; the 17-day silent-cron outage happened because a function failed unseen.</t>
        </is>
      </c>
      <c r="F156" s="37" t="inlineStr">
        <is>
          <t>Ability to invoke the function (API client) and read its logs on the serving host.</t>
        </is>
      </c>
      <c r="G156" s="37" t="inlineStr">
        <is>
          <t>1) Invoke it and inspect logs; confirm a start log, a terminal (success/failure) log, and a correlation ID that ties them together, plus a host tag. (function: alert-dispatcher).</t>
        </is>
      </c>
      <c r="H156" s="37" t="inlineStr">
        <is>
          <t>Start + terminal logs present, sharing a correlation ID and host tag.</t>
        </is>
      </c>
      <c r="I156" s="37" t="inlineStr">
        <is>
          <t>Response + log excerpt for alert-dispatcher — Structured start/success/failure logs + correlation ID</t>
        </is>
      </c>
      <c r="J156" s="43" t="inlineStr">
        <is>
          <t>NOT RUN</t>
        </is>
      </c>
      <c r="K156" s="37" t="inlineStr">
        <is>
          <t>Claude (pending env)</t>
        </is>
      </c>
      <c r="L156" s="37" t="n"/>
      <c r="M156" s="37" t="n"/>
      <c r="N156" s="37" t="inlineStr">
        <is>
          <t>[T4 | Phase 4 | Claude (pending env)] Playwright/authenticated-API against running env. awaiting running staging URL + test accounts</t>
        </is>
      </c>
    </row>
    <row r="157" ht="53.7" customHeight="1" s="29">
      <c r="A157" s="36" t="inlineStr">
        <is>
          <t>MX-EDGE-0155</t>
        </is>
      </c>
      <c r="B157" s="53" t="inlineStr">
        <is>
          <t>P0</t>
        </is>
      </c>
      <c r="C157" s="36" t="inlineStr">
        <is>
          <t>Backend/Edge Fn</t>
        </is>
      </c>
      <c r="D157" s="36" t="inlineStr">
        <is>
          <t>alert-dispatcher — Auth boundary</t>
        </is>
      </c>
      <c r="E157" s="36" t="inlineStr">
        <is>
          <t>Confirms the 'Auth boundary' property of the 'alert-dispatcher' Edge Function. With ~90 functions across two hosts, observability and auth on EACH is what makes incidents debuggable and safe; the 17-day silent-cron outage happened because a function failed unseen.</t>
        </is>
      </c>
      <c r="F157" s="36" t="inlineStr">
        <is>
          <t>Ability to invoke the function (API client) and read its logs on the serving host.</t>
        </is>
      </c>
      <c r="G157" s="36" t="inlineStr">
        <is>
          <t>1) Invoke it without a valid session / with the wrong role (where the function is not deliberately public). (function: alert-dispatcher).</t>
        </is>
      </c>
      <c r="H157" s="36" t="inlineStr">
        <is>
          <t>Rejects unauthorised callers with a structured error (or is deliberately public with an internal auth check).</t>
        </is>
      </c>
      <c r="I157" s="36" t="inlineStr">
        <is>
          <t>Response + log excerpt for alert-dispatcher — Auth boundary</t>
        </is>
      </c>
      <c r="J157" s="41" t="inlineStr">
        <is>
          <t>NOT RUN</t>
        </is>
      </c>
      <c r="K157" s="36" t="inlineStr">
        <is>
          <t>Claude (pending env)</t>
        </is>
      </c>
      <c r="L157" s="36" t="n"/>
      <c r="M157" s="36" t="n"/>
      <c r="N157" s="36" t="inlineStr">
        <is>
          <t>[T4 | Phase 4 | Claude (pending env)] Playwright/authenticated-API against running env. awaiting running staging URL + test accounts</t>
        </is>
      </c>
    </row>
    <row r="158" ht="53.7" customHeight="1" s="29">
      <c r="A158" s="37" t="inlineStr">
        <is>
          <t>MX-EDGE-0156</t>
        </is>
      </c>
      <c r="B158" s="54" t="inlineStr">
        <is>
          <t>P1</t>
        </is>
      </c>
      <c r="C158" s="37" t="inlineStr">
        <is>
          <t>Backend/Edge Fn</t>
        </is>
      </c>
      <c r="D158" s="37" t="inlineStr">
        <is>
          <t>alert-dispatcher — Failure path is graceful</t>
        </is>
      </c>
      <c r="E158" s="37" t="inlineStr">
        <is>
          <t>Confirms the 'Failure path is graceful' property of the 'alert-dispatcher' Edge Function. With ~90 functions across two hosts, observability and auth on EACH is what makes incidents debuggable and safe; the 17-day silent-cron outage happened because a function failed unseen.</t>
        </is>
      </c>
      <c r="F158" s="37" t="inlineStr">
        <is>
          <t>Ability to invoke the function (API client) and read its logs on the serving host.</t>
        </is>
      </c>
      <c r="G158" s="37" t="inlineStr">
        <is>
          <t>1) Force its downstream dependency to fail (bad input or simulated dependency error) and observe. (function: alert-dispatcher).</t>
        </is>
      </c>
      <c r="H158" s="37" t="inlineStr">
        <is>
          <t>Fails gracefully with a structured error and a failure log; no crash, no partial write, no silent success.</t>
        </is>
      </c>
      <c r="I158" s="37" t="inlineStr">
        <is>
          <t>Response + log excerpt for alert-dispatcher — Failure path is graceful</t>
        </is>
      </c>
      <c r="J158" s="43" t="inlineStr">
        <is>
          <t>NOT RUN</t>
        </is>
      </c>
      <c r="K158" s="37" t="inlineStr">
        <is>
          <t>Claude (pending env)</t>
        </is>
      </c>
      <c r="L158" s="37" t="n"/>
      <c r="M158" s="37" t="n"/>
      <c r="N158" s="37" t="inlineStr">
        <is>
          <t>[T4 | Phase 4 | Claude (pending env)] Playwright/authenticated-API against running env. awaiting running staging URL + test accounts</t>
        </is>
      </c>
    </row>
    <row r="159" ht="53.7" customHeight="1" s="29">
      <c r="A159" s="36" t="inlineStr">
        <is>
          <t>MX-EDGE-0157</t>
        </is>
      </c>
      <c r="B159" s="54" t="inlineStr">
        <is>
          <t>P1</t>
        </is>
      </c>
      <c r="C159" s="36" t="inlineStr">
        <is>
          <t>Backend/Edge Fn</t>
        </is>
      </c>
      <c r="D159" s="36" t="inlineStr">
        <is>
          <t>backup-verifier — Happy-path smoke</t>
        </is>
      </c>
      <c r="E159" s="36" t="inlineStr">
        <is>
          <t>Confirms the 'Happy-path smoke' property of the 'backup-verifier' Edge Function. With ~90 functions across two hosts, observability and auth on EACH is what makes incidents debuggable and safe; the 17-day silent-cron outage happened because a function failed unseen.</t>
        </is>
      </c>
      <c r="F159" s="36" t="inlineStr">
        <is>
          <t>Ability to invoke the function (API client) and read its logs on the serving host.</t>
        </is>
      </c>
      <c r="G159" s="36" t="inlineStr">
        <is>
          <t>1) Invoke the function with a valid request and confirm a correct 2xx response and expected side effect. (function: backup-verifier).</t>
        </is>
      </c>
      <c r="H159" s="36" t="inlineStr">
        <is>
          <t>Returns success; performs its intended effect; no error.</t>
        </is>
      </c>
      <c r="I159" s="36" t="inlineStr">
        <is>
          <t>Response + log excerpt for backup-verifier — Happy-path smoke</t>
        </is>
      </c>
      <c r="J159" s="41" t="inlineStr">
        <is>
          <t>NOT RUN</t>
        </is>
      </c>
      <c r="K159" s="36" t="inlineStr">
        <is>
          <t>Claude (pending env)</t>
        </is>
      </c>
      <c r="L159" s="36" t="n"/>
      <c r="M159" s="36" t="n"/>
      <c r="N159" s="36" t="inlineStr">
        <is>
          <t>[T4 | Phase 4 | Claude (pending env)] Playwright/authenticated-API against running env. awaiting running staging URL + test accounts</t>
        </is>
      </c>
    </row>
    <row r="160" ht="53.7" customHeight="1" s="29">
      <c r="A160" s="37" t="inlineStr">
        <is>
          <t>MX-EDGE-0158</t>
        </is>
      </c>
      <c r="B160" s="54" t="inlineStr">
        <is>
          <t>P1</t>
        </is>
      </c>
      <c r="C160" s="37" t="inlineStr">
        <is>
          <t>Backend/Edge Fn</t>
        </is>
      </c>
      <c r="D160" s="37" t="inlineStr">
        <is>
          <t>backup-verifier — Structured start/success/failure logs + correlation ID</t>
        </is>
      </c>
      <c r="E160" s="37" t="inlineStr">
        <is>
          <t>Confirms the 'Structured start/success/failure logs + correlation ID' property of the 'backup-verifier' Edge Function. With ~90 functions across two hosts, observability and auth on EACH is what makes incidents debuggable and safe; the 17-day silent-cron outage happened because a function failed unseen.</t>
        </is>
      </c>
      <c r="F160" s="37" t="inlineStr">
        <is>
          <t>Ability to invoke the function (API client) and read its logs on the serving host.</t>
        </is>
      </c>
      <c r="G160" s="37" t="inlineStr">
        <is>
          <t>1) Invoke it and inspect logs; confirm a start log, a terminal (success/failure) log, and a correlation ID that ties them together, plus a host tag. (function: backup-verifier).</t>
        </is>
      </c>
      <c r="H160" s="37" t="inlineStr">
        <is>
          <t>Start + terminal logs present, sharing a correlation ID and host tag.</t>
        </is>
      </c>
      <c r="I160" s="37" t="inlineStr">
        <is>
          <t>Response + log excerpt for backup-verifier — Structured start/success/failure logs + correlation ID</t>
        </is>
      </c>
      <c r="J160" s="43" t="inlineStr">
        <is>
          <t>NOT RUN</t>
        </is>
      </c>
      <c r="K160" s="37" t="inlineStr">
        <is>
          <t>Claude (pending env)</t>
        </is>
      </c>
      <c r="L160" s="37" t="n"/>
      <c r="M160" s="37" t="n"/>
      <c r="N160" s="37" t="inlineStr">
        <is>
          <t>[T4 | Phase 4 | Claude (pending env)] Playwright/authenticated-API against running env. awaiting running staging URL + test accounts</t>
        </is>
      </c>
    </row>
    <row r="161" ht="53.7" customHeight="1" s="29">
      <c r="A161" s="36" t="inlineStr">
        <is>
          <t>MX-EDGE-0159</t>
        </is>
      </c>
      <c r="B161" s="53" t="inlineStr">
        <is>
          <t>P0</t>
        </is>
      </c>
      <c r="C161" s="36" t="inlineStr">
        <is>
          <t>Backend/Edge Fn</t>
        </is>
      </c>
      <c r="D161" s="36" t="inlineStr">
        <is>
          <t>backup-verifier — Auth boundary</t>
        </is>
      </c>
      <c r="E161" s="36" t="inlineStr">
        <is>
          <t>Confirms the 'Auth boundary' property of the 'backup-verifier' Edge Function. With ~90 functions across two hosts, observability and auth on EACH is what makes incidents debuggable and safe; the 17-day silent-cron outage happened because a function failed unseen.</t>
        </is>
      </c>
      <c r="F161" s="36" t="inlineStr">
        <is>
          <t>Ability to invoke the function (API client) and read its logs on the serving host.</t>
        </is>
      </c>
      <c r="G161" s="36" t="inlineStr">
        <is>
          <t>1) Invoke it without a valid session / with the wrong role (where the function is not deliberately public). (function: backup-verifier).</t>
        </is>
      </c>
      <c r="H161" s="36" t="inlineStr">
        <is>
          <t>Rejects unauthorised callers with a structured error (or is deliberately public with an internal auth check).</t>
        </is>
      </c>
      <c r="I161" s="36" t="inlineStr">
        <is>
          <t>Response + log excerpt for backup-verifier — Auth boundary</t>
        </is>
      </c>
      <c r="J161" s="41" t="inlineStr">
        <is>
          <t>NOT RUN</t>
        </is>
      </c>
      <c r="K161" s="36" t="inlineStr">
        <is>
          <t>Claude (pending env)</t>
        </is>
      </c>
      <c r="L161" s="36" t="n"/>
      <c r="M161" s="36" t="n"/>
      <c r="N161" s="36" t="inlineStr">
        <is>
          <t>[T4 | Phase 4 | Claude (pending env)] Playwright/authenticated-API against running env. awaiting running staging URL + test accounts</t>
        </is>
      </c>
    </row>
    <row r="162" ht="53.7" customHeight="1" s="29">
      <c r="A162" s="37" t="inlineStr">
        <is>
          <t>MX-EDGE-0160</t>
        </is>
      </c>
      <c r="B162" s="54" t="inlineStr">
        <is>
          <t>P1</t>
        </is>
      </c>
      <c r="C162" s="37" t="inlineStr">
        <is>
          <t>Backend/Edge Fn</t>
        </is>
      </c>
      <c r="D162" s="37" t="inlineStr">
        <is>
          <t>backup-verifier — Failure path is graceful</t>
        </is>
      </c>
      <c r="E162" s="37" t="inlineStr">
        <is>
          <t>Confirms the 'Failure path is graceful' property of the 'backup-verifier' Edge Function. With ~90 functions across two hosts, observability and auth on EACH is what makes incidents debuggable and safe; the 17-day silent-cron outage happened because a function failed unseen.</t>
        </is>
      </c>
      <c r="F162" s="37" t="inlineStr">
        <is>
          <t>Ability to invoke the function (API client) and read its logs on the serving host.</t>
        </is>
      </c>
      <c r="G162" s="37" t="inlineStr">
        <is>
          <t>1) Force its downstream dependency to fail (bad input or simulated dependency error) and observe. (function: backup-verifier).</t>
        </is>
      </c>
      <c r="H162" s="37" t="inlineStr">
        <is>
          <t>Fails gracefully with a structured error and a failure log; no crash, no partial write, no silent success.</t>
        </is>
      </c>
      <c r="I162" s="37" t="inlineStr">
        <is>
          <t>Response + log excerpt for backup-verifier — Failure path is graceful</t>
        </is>
      </c>
      <c r="J162" s="43" t="inlineStr">
        <is>
          <t>NOT RUN</t>
        </is>
      </c>
      <c r="K162" s="37" t="inlineStr">
        <is>
          <t>Claude (pending env)</t>
        </is>
      </c>
      <c r="L162" s="37" t="n"/>
      <c r="M162" s="37" t="n"/>
      <c r="N162" s="37" t="inlineStr">
        <is>
          <t>[T4 | Phase 4 | Claude (pending env)] Playwright/authenticated-API against running env. awaiting running staging URL + test accounts</t>
        </is>
      </c>
    </row>
    <row r="163" ht="53.7" customHeight="1" s="29">
      <c r="A163" s="36" t="inlineStr">
        <is>
          <t>MX-EDGE-0161</t>
        </is>
      </c>
      <c r="B163" s="54" t="inlineStr">
        <is>
          <t>P1</t>
        </is>
      </c>
      <c r="C163" s="36" t="inlineStr">
        <is>
          <t>Backend/Edge Fn</t>
        </is>
      </c>
      <c r="D163" s="36" t="inlineStr">
        <is>
          <t>circuit-breaker — Happy-path smoke</t>
        </is>
      </c>
      <c r="E163" s="36" t="inlineStr">
        <is>
          <t>Confirms the 'Happy-path smoke' property of the 'circuit-breaker' Edge Function. With ~90 functions across two hosts, observability and auth on EACH is what makes incidents debuggable and safe; the 17-day silent-cron outage happened because a function failed unseen.</t>
        </is>
      </c>
      <c r="F163" s="36" t="inlineStr">
        <is>
          <t>Ability to invoke the function (API client) and read its logs on the serving host.</t>
        </is>
      </c>
      <c r="G163" s="36" t="inlineStr">
        <is>
          <t>1) Invoke the function with a valid request and confirm a correct 2xx response and expected side effect. (function: circuit-breaker).</t>
        </is>
      </c>
      <c r="H163" s="36" t="inlineStr">
        <is>
          <t>Returns success; performs its intended effect; no error.</t>
        </is>
      </c>
      <c r="I163" s="36" t="inlineStr">
        <is>
          <t>Response + log excerpt for circuit-breaker — Happy-path smoke</t>
        </is>
      </c>
      <c r="J163" s="41" t="inlineStr">
        <is>
          <t>NOT RUN</t>
        </is>
      </c>
      <c r="K163" s="36" t="inlineStr">
        <is>
          <t>Claude (pending env)</t>
        </is>
      </c>
      <c r="L163" s="36" t="n"/>
      <c r="M163" s="36" t="n"/>
      <c r="N163" s="36" t="inlineStr">
        <is>
          <t>[T4 | Phase 4 | Claude (pending env)] Playwright/authenticated-API against running env. awaiting running staging URL + test accounts</t>
        </is>
      </c>
    </row>
    <row r="164" ht="53.7" customHeight="1" s="29">
      <c r="A164" s="37" t="inlineStr">
        <is>
          <t>MX-EDGE-0162</t>
        </is>
      </c>
      <c r="B164" s="54" t="inlineStr">
        <is>
          <t>P1</t>
        </is>
      </c>
      <c r="C164" s="37" t="inlineStr">
        <is>
          <t>Backend/Edge Fn</t>
        </is>
      </c>
      <c r="D164" s="37" t="inlineStr">
        <is>
          <t>circuit-breaker — Structured start/success/failure logs + correlation ID</t>
        </is>
      </c>
      <c r="E164" s="37" t="inlineStr">
        <is>
          <t>Confirms the 'Structured start/success/failure logs + correlation ID' property of the 'circuit-breaker' Edge Function. With ~90 functions across two hosts, observability and auth on EACH is what makes incidents debuggable and safe; the 17-day silent-cron outage happened because a function failed unseen.</t>
        </is>
      </c>
      <c r="F164" s="37" t="inlineStr">
        <is>
          <t>Ability to invoke the function (API client) and read its logs on the serving host.</t>
        </is>
      </c>
      <c r="G164" s="37" t="inlineStr">
        <is>
          <t>1) Invoke it and inspect logs; confirm a start log, a terminal (success/failure) log, and a correlation ID that ties them together, plus a host tag. (function: circuit-breaker).</t>
        </is>
      </c>
      <c r="H164" s="37" t="inlineStr">
        <is>
          <t>Start + terminal logs present, sharing a correlation ID and host tag.</t>
        </is>
      </c>
      <c r="I164" s="37" t="inlineStr">
        <is>
          <t>Response + log excerpt for circuit-breaker — Structured start/success/failure logs + correlation ID</t>
        </is>
      </c>
      <c r="J164" s="43" t="inlineStr">
        <is>
          <t>NOT RUN</t>
        </is>
      </c>
      <c r="K164" s="37" t="inlineStr">
        <is>
          <t>Claude (pending env)</t>
        </is>
      </c>
      <c r="L164" s="37" t="n"/>
      <c r="M164" s="37" t="n"/>
      <c r="N164" s="37" t="inlineStr">
        <is>
          <t>[T4 | Phase 4 | Claude (pending env)] Playwright/authenticated-API against running env. awaiting running staging URL + test accounts</t>
        </is>
      </c>
    </row>
    <row r="165" ht="53.7" customHeight="1" s="29">
      <c r="A165" s="36" t="inlineStr">
        <is>
          <t>MX-EDGE-0163</t>
        </is>
      </c>
      <c r="B165" s="53" t="inlineStr">
        <is>
          <t>P0</t>
        </is>
      </c>
      <c r="C165" s="36" t="inlineStr">
        <is>
          <t>Backend/Edge Fn</t>
        </is>
      </c>
      <c r="D165" s="36" t="inlineStr">
        <is>
          <t>circuit-breaker — Auth boundary</t>
        </is>
      </c>
      <c r="E165" s="36" t="inlineStr">
        <is>
          <t>Confirms the 'Auth boundary' property of the 'circuit-breaker' Edge Function. With ~90 functions across two hosts, observability and auth on EACH is what makes incidents debuggable and safe; the 17-day silent-cron outage happened because a function failed unseen.</t>
        </is>
      </c>
      <c r="F165" s="36" t="inlineStr">
        <is>
          <t>Ability to invoke the function (API client) and read its logs on the serving host.</t>
        </is>
      </c>
      <c r="G165" s="36" t="inlineStr">
        <is>
          <t>1) Invoke it without a valid session / with the wrong role (where the function is not deliberately public). (function: circuit-breaker).</t>
        </is>
      </c>
      <c r="H165" s="36" t="inlineStr">
        <is>
          <t>Rejects unauthorised callers with a structured error (or is deliberately public with an internal auth check).</t>
        </is>
      </c>
      <c r="I165" s="36" t="inlineStr">
        <is>
          <t>Response + log excerpt for circuit-breaker — Auth boundary</t>
        </is>
      </c>
      <c r="J165" s="41" t="inlineStr">
        <is>
          <t>NOT RUN</t>
        </is>
      </c>
      <c r="K165" s="36" t="inlineStr">
        <is>
          <t>Claude (pending env)</t>
        </is>
      </c>
      <c r="L165" s="36" t="n"/>
      <c r="M165" s="36" t="n"/>
      <c r="N165" s="36" t="inlineStr">
        <is>
          <t>[T4 | Phase 4 | Claude (pending env)] Playwright/authenticated-API against running env. awaiting running staging URL + test accounts</t>
        </is>
      </c>
    </row>
    <row r="166" ht="53.7" customHeight="1" s="29">
      <c r="A166" s="37" t="inlineStr">
        <is>
          <t>MX-EDGE-0164</t>
        </is>
      </c>
      <c r="B166" s="54" t="inlineStr">
        <is>
          <t>P1</t>
        </is>
      </c>
      <c r="C166" s="37" t="inlineStr">
        <is>
          <t>Backend/Edge Fn</t>
        </is>
      </c>
      <c r="D166" s="37" t="inlineStr">
        <is>
          <t>circuit-breaker — Failure path is graceful</t>
        </is>
      </c>
      <c r="E166" s="37" t="inlineStr">
        <is>
          <t>Confirms the 'Failure path is graceful' property of the 'circuit-breaker' Edge Function. With ~90 functions across two hosts, observability and auth on EACH is what makes incidents debuggable and safe; the 17-day silent-cron outage happened because a function failed unseen.</t>
        </is>
      </c>
      <c r="F166" s="37" t="inlineStr">
        <is>
          <t>Ability to invoke the function (API client) and read its logs on the serving host.</t>
        </is>
      </c>
      <c r="G166" s="37" t="inlineStr">
        <is>
          <t>1) Force its downstream dependency to fail (bad input or simulated dependency error) and observe. (function: circuit-breaker).</t>
        </is>
      </c>
      <c r="H166" s="37" t="inlineStr">
        <is>
          <t>Fails gracefully with a structured error and a failure log; no crash, no partial write, no silent success.</t>
        </is>
      </c>
      <c r="I166" s="37" t="inlineStr">
        <is>
          <t>Response + log excerpt for circuit-breaker — Failure path is graceful</t>
        </is>
      </c>
      <c r="J166" s="43" t="inlineStr">
        <is>
          <t>NOT RUN</t>
        </is>
      </c>
      <c r="K166" s="37" t="inlineStr">
        <is>
          <t>Claude (pending env)</t>
        </is>
      </c>
      <c r="L166" s="37" t="n"/>
      <c r="M166" s="37" t="n"/>
      <c r="N166" s="37" t="inlineStr">
        <is>
          <t>[T4 | Phase 4 | Claude (pending env)] Playwright/authenticated-API against running env. awaiting running staging URL + test accounts</t>
        </is>
      </c>
    </row>
    <row r="167" ht="53.7" customHeight="1" s="29">
      <c r="A167" s="36" t="inlineStr">
        <is>
          <t>MX-EDGE-0165</t>
        </is>
      </c>
      <c r="B167" s="54" t="inlineStr">
        <is>
          <t>P1</t>
        </is>
      </c>
      <c r="C167" s="36" t="inlineStr">
        <is>
          <t>Backend/Edge Fn</t>
        </is>
      </c>
      <c r="D167" s="36" t="inlineStr">
        <is>
          <t>gamification-hooks — Happy-path smoke</t>
        </is>
      </c>
      <c r="E167" s="36" t="inlineStr">
        <is>
          <t>Confirms the 'Happy-path smoke' property of the 'gamification-hooks' Edge Function. With ~90 functions across two hosts, observability and auth on EACH is what makes incidents debuggable and safe; the 17-day silent-cron outage happened because a function failed unseen.</t>
        </is>
      </c>
      <c r="F167" s="36" t="inlineStr">
        <is>
          <t>Ability to invoke the function (API client) and read its logs on the serving host.</t>
        </is>
      </c>
      <c r="G167" s="36" t="inlineStr">
        <is>
          <t>1) Invoke the function with a valid request and confirm a correct 2xx response and expected side effect. (function: gamification-hooks).</t>
        </is>
      </c>
      <c r="H167" s="36" t="inlineStr">
        <is>
          <t>Returns success; performs its intended effect; no error.</t>
        </is>
      </c>
      <c r="I167" s="36" t="inlineStr">
        <is>
          <t>Response + log excerpt for gamification-hooks — Happy-path smoke</t>
        </is>
      </c>
      <c r="J167" s="41" t="inlineStr">
        <is>
          <t>NOT RUN</t>
        </is>
      </c>
      <c r="K167" s="36" t="inlineStr">
        <is>
          <t>Claude (pending env)</t>
        </is>
      </c>
      <c r="L167" s="36" t="n"/>
      <c r="M167" s="36" t="n"/>
      <c r="N167" s="36" t="inlineStr">
        <is>
          <t>[T4 | Phase 4 | Claude (pending env)] Playwright/authenticated-API against running env. awaiting running staging URL + test accounts</t>
        </is>
      </c>
    </row>
    <row r="168" ht="53.7" customHeight="1" s="29">
      <c r="A168" s="37" t="inlineStr">
        <is>
          <t>MX-EDGE-0166</t>
        </is>
      </c>
      <c r="B168" s="54" t="inlineStr">
        <is>
          <t>P1</t>
        </is>
      </c>
      <c r="C168" s="37" t="inlineStr">
        <is>
          <t>Backend/Edge Fn</t>
        </is>
      </c>
      <c r="D168" s="37" t="inlineStr">
        <is>
          <t>gamification-hooks — Structured start/success/failure logs + correlation ID</t>
        </is>
      </c>
      <c r="E168" s="37" t="inlineStr">
        <is>
          <t>Confirms the 'Structured start/success/failure logs + correlation ID' property of the 'gamification-hooks' Edge Function. With ~90 functions across two hosts, observability and auth on EACH is what makes incidents debuggable and safe; the 17-day silent-cron outage happened because a function failed unseen.</t>
        </is>
      </c>
      <c r="F168" s="37" t="inlineStr">
        <is>
          <t>Ability to invoke the function (API client) and read its logs on the serving host.</t>
        </is>
      </c>
      <c r="G168" s="37" t="inlineStr">
        <is>
          <t>1) Invoke it and inspect logs; confirm a start log, a terminal (success/failure) log, and a correlation ID that ties them together, plus a host tag. (function: gamification-hooks).</t>
        </is>
      </c>
      <c r="H168" s="37" t="inlineStr">
        <is>
          <t>Start + terminal logs present, sharing a correlation ID and host tag.</t>
        </is>
      </c>
      <c r="I168" s="37" t="inlineStr">
        <is>
          <t>Response + log excerpt for gamification-hooks — Structured start/success/failure logs + correlation ID</t>
        </is>
      </c>
      <c r="J168" s="43" t="inlineStr">
        <is>
          <t>NOT RUN</t>
        </is>
      </c>
      <c r="K168" s="37" t="inlineStr">
        <is>
          <t>Claude (pending env)</t>
        </is>
      </c>
      <c r="L168" s="37" t="n"/>
      <c r="M168" s="37" t="n"/>
      <c r="N168" s="37" t="inlineStr">
        <is>
          <t>[T4 | Phase 4 | Claude (pending env)] Playwright/authenticated-API against running env. awaiting running staging URL + test accounts</t>
        </is>
      </c>
    </row>
    <row r="169" ht="53.7" customHeight="1" s="29">
      <c r="A169" s="36" t="inlineStr">
        <is>
          <t>MX-EDGE-0167</t>
        </is>
      </c>
      <c r="B169" s="53" t="inlineStr">
        <is>
          <t>P0</t>
        </is>
      </c>
      <c r="C169" s="36" t="inlineStr">
        <is>
          <t>Backend/Edge Fn</t>
        </is>
      </c>
      <c r="D169" s="36" t="inlineStr">
        <is>
          <t>gamification-hooks — Auth boundary</t>
        </is>
      </c>
      <c r="E169" s="36" t="inlineStr">
        <is>
          <t>Confirms the 'Auth boundary' property of the 'gamification-hooks' Edge Function. With ~90 functions across two hosts, observability and auth on EACH is what makes incidents debuggable and safe; the 17-day silent-cron outage happened because a function failed unseen.</t>
        </is>
      </c>
      <c r="F169" s="36" t="inlineStr">
        <is>
          <t>Ability to invoke the function (API client) and read its logs on the serving host.</t>
        </is>
      </c>
      <c r="G169" s="36" t="inlineStr">
        <is>
          <t>1) Invoke it without a valid session / with the wrong role (where the function is not deliberately public). (function: gamification-hooks).</t>
        </is>
      </c>
      <c r="H169" s="36" t="inlineStr">
        <is>
          <t>Rejects unauthorised callers with a structured error (or is deliberately public with an internal auth check).</t>
        </is>
      </c>
      <c r="I169" s="36" t="inlineStr">
        <is>
          <t>Response + log excerpt for gamification-hooks — Auth boundary</t>
        </is>
      </c>
      <c r="J169" s="41" t="inlineStr">
        <is>
          <t>NOT RUN</t>
        </is>
      </c>
      <c r="K169" s="36" t="inlineStr">
        <is>
          <t>Claude (pending env)</t>
        </is>
      </c>
      <c r="L169" s="36" t="n"/>
      <c r="M169" s="36" t="n"/>
      <c r="N169" s="36" t="inlineStr">
        <is>
          <t>[T4 | Phase 4 | Claude (pending env)] Playwright/authenticated-API against running env. awaiting running staging URL + test accounts</t>
        </is>
      </c>
    </row>
    <row r="170" ht="53.7" customHeight="1" s="29">
      <c r="A170" s="37" t="inlineStr">
        <is>
          <t>MX-EDGE-0168</t>
        </is>
      </c>
      <c r="B170" s="54" t="inlineStr">
        <is>
          <t>P1</t>
        </is>
      </c>
      <c r="C170" s="37" t="inlineStr">
        <is>
          <t>Backend/Edge Fn</t>
        </is>
      </c>
      <c r="D170" s="37" t="inlineStr">
        <is>
          <t>gamification-hooks — Failure path is graceful</t>
        </is>
      </c>
      <c r="E170" s="37" t="inlineStr">
        <is>
          <t>Confirms the 'Failure path is graceful' property of the 'gamification-hooks' Edge Function. With ~90 functions across two hosts, observability and auth on EACH is what makes incidents debuggable and safe; the 17-day silent-cron outage happened because a function failed unseen.</t>
        </is>
      </c>
      <c r="F170" s="37" t="inlineStr">
        <is>
          <t>Ability to invoke the function (API client) and read its logs on the serving host.</t>
        </is>
      </c>
      <c r="G170" s="37" t="inlineStr">
        <is>
          <t>1) Force its downstream dependency to fail (bad input or simulated dependency error) and observe. (function: gamification-hooks).</t>
        </is>
      </c>
      <c r="H170" s="37" t="inlineStr">
        <is>
          <t>Fails gracefully with a structured error and a failure log; no crash, no partial write, no silent success.</t>
        </is>
      </c>
      <c r="I170" s="37" t="inlineStr">
        <is>
          <t>Response + log excerpt for gamification-hooks — Failure path is graceful</t>
        </is>
      </c>
      <c r="J170" s="43" t="inlineStr">
        <is>
          <t>NOT RUN</t>
        </is>
      </c>
      <c r="K170" s="37" t="inlineStr">
        <is>
          <t>Claude (pending env)</t>
        </is>
      </c>
      <c r="L170" s="37" t="n"/>
      <c r="M170" s="37" t="n"/>
      <c r="N170" s="37" t="inlineStr">
        <is>
          <t>[T4 | Phase 4 | Claude (pending env)] Playwright/authenticated-API against running env. awaiting running staging URL + test accounts</t>
        </is>
      </c>
    </row>
    <row r="171" ht="53.7" customHeight="1" s="29">
      <c r="A171" s="36" t="inlineStr">
        <is>
          <t>MX-EDGE-0169</t>
        </is>
      </c>
      <c r="B171" s="54" t="inlineStr">
        <is>
          <t>P1</t>
        </is>
      </c>
      <c r="C171" s="36" t="inlineStr">
        <is>
          <t>Backend/Edge Fn</t>
        </is>
      </c>
      <c r="D171" s="36" t="inlineStr">
        <is>
          <t>leaderboard-builder — Happy-path smoke</t>
        </is>
      </c>
      <c r="E171" s="36" t="inlineStr">
        <is>
          <t>Confirms the 'Happy-path smoke' property of the 'leaderboard-builder' Edge Function. With ~90 functions across two hosts, observability and auth on EACH is what makes incidents debuggable and safe; the 17-day silent-cron outage happened because a function failed unseen.</t>
        </is>
      </c>
      <c r="F171" s="36" t="inlineStr">
        <is>
          <t>Ability to invoke the function (API client) and read its logs on the serving host.</t>
        </is>
      </c>
      <c r="G171" s="36" t="inlineStr">
        <is>
          <t>1) Invoke the function with a valid request and confirm a correct 2xx response and expected side effect. (function: leaderboard-builder).</t>
        </is>
      </c>
      <c r="H171" s="36" t="inlineStr">
        <is>
          <t>Returns success; performs its intended effect; no error.</t>
        </is>
      </c>
      <c r="I171" s="36" t="inlineStr">
        <is>
          <t>Response + log excerpt for leaderboard-builder — Happy-path smoke</t>
        </is>
      </c>
      <c r="J171" s="41" t="inlineStr">
        <is>
          <t>NOT RUN</t>
        </is>
      </c>
      <c r="K171" s="36" t="inlineStr">
        <is>
          <t>Claude (pending env)</t>
        </is>
      </c>
      <c r="L171" s="36" t="n"/>
      <c r="M171" s="36" t="n"/>
      <c r="N171" s="36" t="inlineStr">
        <is>
          <t>[T4 | Phase 4 | Claude (pending env)] Playwright/authenticated-API against running env. awaiting running staging URL + test accounts</t>
        </is>
      </c>
    </row>
    <row r="172" ht="53.7" customHeight="1" s="29">
      <c r="A172" s="37" t="inlineStr">
        <is>
          <t>MX-EDGE-0170</t>
        </is>
      </c>
      <c r="B172" s="54" t="inlineStr">
        <is>
          <t>P1</t>
        </is>
      </c>
      <c r="C172" s="37" t="inlineStr">
        <is>
          <t>Backend/Edge Fn</t>
        </is>
      </c>
      <c r="D172" s="37" t="inlineStr">
        <is>
          <t>leaderboard-builder — Structured start/success/failure logs + correlation ID</t>
        </is>
      </c>
      <c r="E172" s="37" t="inlineStr">
        <is>
          <t>Confirms the 'Structured start/success/failure logs + correlation ID' property of the 'leaderboard-builder' Edge Function. With ~90 functions across two hosts, observability and auth on EACH is what makes incidents debuggable and safe; the 17-day silent-cron outage happened because a function failed unseen.</t>
        </is>
      </c>
      <c r="F172" s="37" t="inlineStr">
        <is>
          <t>Ability to invoke the function (API client) and read its logs on the serving host.</t>
        </is>
      </c>
      <c r="G172" s="37" t="inlineStr">
        <is>
          <t>1) Invoke it and inspect logs; confirm a start log, a terminal (success/failure) log, and a correlation ID that ties them together, plus a host tag. (function: leaderboard-builder).</t>
        </is>
      </c>
      <c r="H172" s="37" t="inlineStr">
        <is>
          <t>Start + terminal logs present, sharing a correlation ID and host tag.</t>
        </is>
      </c>
      <c r="I172" s="37" t="inlineStr">
        <is>
          <t>Response + log excerpt for leaderboard-builder — Structured start/success/failure logs + correlation ID</t>
        </is>
      </c>
      <c r="J172" s="43" t="inlineStr">
        <is>
          <t>NOT RUN</t>
        </is>
      </c>
      <c r="K172" s="37" t="inlineStr">
        <is>
          <t>Claude (pending env)</t>
        </is>
      </c>
      <c r="L172" s="37" t="n"/>
      <c r="M172" s="37" t="n"/>
      <c r="N172" s="37" t="inlineStr">
        <is>
          <t>[T4 | Phase 4 | Claude (pending env)] Playwright/authenticated-API against running env. awaiting running staging URL + test accounts</t>
        </is>
      </c>
    </row>
    <row r="173" ht="53.7" customHeight="1" s="29">
      <c r="A173" s="36" t="inlineStr">
        <is>
          <t>MX-EDGE-0171</t>
        </is>
      </c>
      <c r="B173" s="53" t="inlineStr">
        <is>
          <t>P0</t>
        </is>
      </c>
      <c r="C173" s="36" t="inlineStr">
        <is>
          <t>Backend/Edge Fn</t>
        </is>
      </c>
      <c r="D173" s="36" t="inlineStr">
        <is>
          <t>leaderboard-builder — Auth boundary</t>
        </is>
      </c>
      <c r="E173" s="36" t="inlineStr">
        <is>
          <t>Confirms the 'Auth boundary' property of the 'leaderboard-builder' Edge Function. With ~90 functions across two hosts, observability and auth on EACH is what makes incidents debuggable and safe; the 17-day silent-cron outage happened because a function failed unseen.</t>
        </is>
      </c>
      <c r="F173" s="36" t="inlineStr">
        <is>
          <t>Ability to invoke the function (API client) and read its logs on the serving host.</t>
        </is>
      </c>
      <c r="G173" s="36" t="inlineStr">
        <is>
          <t>1) Invoke it without a valid session / with the wrong role (where the function is not deliberately public). (function: leaderboard-builder).</t>
        </is>
      </c>
      <c r="H173" s="36" t="inlineStr">
        <is>
          <t>Rejects unauthorised callers with a structured error (or is deliberately public with an internal auth check).</t>
        </is>
      </c>
      <c r="I173" s="36" t="inlineStr">
        <is>
          <t>Response + log excerpt for leaderboard-builder — Auth boundary</t>
        </is>
      </c>
      <c r="J173" s="41" t="inlineStr">
        <is>
          <t>NOT RUN</t>
        </is>
      </c>
      <c r="K173" s="36" t="inlineStr">
        <is>
          <t>Claude (pending env)</t>
        </is>
      </c>
      <c r="L173" s="36" t="n"/>
      <c r="M173" s="36" t="n"/>
      <c r="N173" s="36" t="inlineStr">
        <is>
          <t>[T4 | Phase 4 | Claude (pending env)] Playwright/authenticated-API against running env. awaiting running staging URL + test accounts</t>
        </is>
      </c>
    </row>
    <row r="174" ht="53.7" customHeight="1" s="29">
      <c r="A174" s="37" t="inlineStr">
        <is>
          <t>MX-EDGE-0172</t>
        </is>
      </c>
      <c r="B174" s="54" t="inlineStr">
        <is>
          <t>P1</t>
        </is>
      </c>
      <c r="C174" s="37" t="inlineStr">
        <is>
          <t>Backend/Edge Fn</t>
        </is>
      </c>
      <c r="D174" s="37" t="inlineStr">
        <is>
          <t>leaderboard-builder — Failure path is graceful</t>
        </is>
      </c>
      <c r="E174" s="37" t="inlineStr">
        <is>
          <t>Confirms the 'Failure path is graceful' property of the 'leaderboard-builder' Edge Function. With ~90 functions across two hosts, observability and auth on EACH is what makes incidents debuggable and safe; the 17-day silent-cron outage happened because a function failed unseen.</t>
        </is>
      </c>
      <c r="F174" s="37" t="inlineStr">
        <is>
          <t>Ability to invoke the function (API client) and read its logs on the serving host.</t>
        </is>
      </c>
      <c r="G174" s="37" t="inlineStr">
        <is>
          <t>1) Force its downstream dependency to fail (bad input or simulated dependency error) and observe. (function: leaderboard-builder).</t>
        </is>
      </c>
      <c r="H174" s="37" t="inlineStr">
        <is>
          <t>Fails gracefully with a structured error and a failure log; no crash, no partial write, no silent success.</t>
        </is>
      </c>
      <c r="I174" s="37" t="inlineStr">
        <is>
          <t>Response + log excerpt for leaderboard-builder — Failure path is graceful</t>
        </is>
      </c>
      <c r="J174" s="43" t="inlineStr">
        <is>
          <t>NOT RUN</t>
        </is>
      </c>
      <c r="K174" s="37" t="inlineStr">
        <is>
          <t>Claude (pending env)</t>
        </is>
      </c>
      <c r="L174" s="37" t="n"/>
      <c r="M174" s="37" t="n"/>
      <c r="N174" s="37" t="inlineStr">
        <is>
          <t>[T4 | Phase 4 | Claude (pending env)] Playwright/authenticated-API against running env. awaiting running staging URL + test accounts</t>
        </is>
      </c>
    </row>
  </sheetData>
  <autoFilter ref="A2:N174"/>
  <mergeCells count="1">
    <mergeCell ref="A1:N1"/>
  </mergeCells>
  <conditionalFormatting sqref="J3:J174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174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N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8" min="1" max="1"/>
    <col width="5.51" customWidth="1" style="28" min="2" max="2"/>
    <col width="13" customWidth="1" style="28" min="3" max="3"/>
    <col width="24" customWidth="1" style="28" min="4" max="4"/>
    <col width="48" customWidth="1" style="28" min="5" max="5"/>
    <col width="30" customWidth="1" style="28" min="6" max="6"/>
    <col width="58" customWidth="1" style="28" min="7" max="7"/>
    <col width="46" customWidth="1" style="28" min="8" max="8"/>
    <col width="24" customWidth="1" style="28" min="9" max="9"/>
    <col width="10" customWidth="1" style="28" min="10" max="10"/>
    <col width="9" customWidth="1" style="28" min="11" max="11"/>
    <col width="10" customWidth="1" style="28" min="12" max="13"/>
    <col width="18" customWidth="1" style="28" min="14" max="14"/>
  </cols>
  <sheetData>
    <row r="1" ht="21.75" customHeight="1" s="29">
      <c r="A1" s="52" t="inlineStr">
        <is>
          <t>27 · Matrix — Navigation No-Blank-Page (Role × Destination)   —   56 test cases</t>
        </is>
      </c>
    </row>
    <row r="2" ht="15" customHeight="1" s="29">
      <c r="A2" s="40" t="inlineStr">
        <is>
          <t>TC ID</t>
        </is>
      </c>
      <c r="B2" s="40" t="inlineStr">
        <is>
          <t>Pri</t>
        </is>
      </c>
      <c r="C2" s="40" t="inlineStr">
        <is>
          <t>Layer</t>
        </is>
      </c>
      <c r="D2" s="40" t="inlineStr">
        <is>
          <t>Feature / Workflow</t>
        </is>
      </c>
      <c r="E2" s="40" t="inlineStr">
        <is>
          <t>What this checks &amp; why it matters (read me first)</t>
        </is>
      </c>
      <c r="F2" s="40" t="inlineStr">
        <is>
          <t>Preconditions</t>
        </is>
      </c>
      <c r="G2" s="40" t="inlineStr">
        <is>
          <t>Test Steps</t>
        </is>
      </c>
      <c r="H2" s="40" t="inlineStr">
        <is>
          <t>Expected Result</t>
        </is>
      </c>
      <c r="I2" s="40" t="inlineStr">
        <is>
          <t>Evidence required</t>
        </is>
      </c>
      <c r="J2" s="40" t="inlineStr">
        <is>
          <t>Status</t>
        </is>
      </c>
      <c r="K2" s="40" t="inlineStr">
        <is>
          <t>Tester</t>
        </is>
      </c>
      <c r="L2" s="40" t="inlineStr">
        <is>
          <t>Date</t>
        </is>
      </c>
      <c r="M2" s="40" t="inlineStr">
        <is>
          <t>Defect ID</t>
        </is>
      </c>
      <c r="N2" s="40" t="inlineStr">
        <is>
          <t>Notes</t>
        </is>
      </c>
    </row>
    <row r="3" ht="53.7" customHeight="1" s="29">
      <c r="A3" s="36" t="inlineStr">
        <is>
          <t>MX-NAV-0001</t>
        </is>
      </c>
      <c r="B3" s="54" t="inlineStr">
        <is>
          <t>P1</t>
        </is>
      </c>
      <c r="C3" s="36" t="inlineStr">
        <is>
          <t>Frontend/Nav</t>
        </is>
      </c>
      <c r="D3" s="36" t="inlineStr">
        <is>
          <t>Student · Home/Today</t>
        </is>
      </c>
      <c r="E3" s="36" t="inlineStr">
        <is>
          <t>Confirms the 'Home/Today' navigation destination for a Student lands on real content OR an explicit 'coming soon' — never a blank page, error, or dead end. A blank page once burned a live school demo; this matrix walks every nav item for every role so none is missed.</t>
        </is>
      </c>
      <c r="F3" s="36" t="inlineStr">
        <is>
          <t>A Student test account with representative data.</t>
        </is>
      </c>
      <c r="G3" s="36" t="inlineStr">
        <is>
          <t>1) Log in as Student. 2) Click 'Home/Today' in the navigation. 3) Observe what renders.</t>
        </is>
      </c>
      <c r="H3" s="36" t="inlineStr">
        <is>
          <t>'Home/Today' shows real content or a clean 'coming soon' fence; no blank page, no error, no dead-end; back-nav works.</t>
        </is>
      </c>
      <c r="I3" s="36" t="inlineStr">
        <is>
          <t>Screenshot of the Student 'Home/Today' destination</t>
        </is>
      </c>
      <c r="J3" s="41" t="inlineStr">
        <is>
          <t>NOT RUN</t>
        </is>
      </c>
      <c r="K3" s="36" t="inlineStr">
        <is>
          <t>Claude (pending env)</t>
        </is>
      </c>
      <c r="L3" s="36" t="n"/>
      <c r="M3" s="36" t="n"/>
      <c r="N3" s="36" t="inlineStr">
        <is>
          <t>[T4 | Phase 4 | Claude (pending env)] Playwright/authenticated-API against running env. awaiting running staging URL + test accounts</t>
        </is>
      </c>
    </row>
    <row r="4" ht="53.7" customHeight="1" s="29">
      <c r="A4" s="37" t="inlineStr">
        <is>
          <t>MX-NAV-0002</t>
        </is>
      </c>
      <c r="B4" s="54" t="inlineStr">
        <is>
          <t>P1</t>
        </is>
      </c>
      <c r="C4" s="37" t="inlineStr">
        <is>
          <t>Frontend/Nav</t>
        </is>
      </c>
      <c r="D4" s="37" t="inlineStr">
        <is>
          <t>Student · Quiz</t>
        </is>
      </c>
      <c r="E4" s="37" t="inlineStr">
        <is>
          <t>Confirms the 'Quiz' navigation destination for a Student lands on real content OR an explicit 'coming soon' — never a blank page, error, or dead end. A blank page once burned a live school demo; this matrix walks every nav item for every role so none is missed.</t>
        </is>
      </c>
      <c r="F4" s="37" t="inlineStr">
        <is>
          <t>A Student test account with representative data.</t>
        </is>
      </c>
      <c r="G4" s="37" t="inlineStr">
        <is>
          <t>1) Log in as Student. 2) Click 'Quiz' in the navigation. 3) Observe what renders.</t>
        </is>
      </c>
      <c r="H4" s="37" t="inlineStr">
        <is>
          <t>'Quiz' shows real content or a clean 'coming soon' fence; no blank page, no error, no dead-end; back-nav works.</t>
        </is>
      </c>
      <c r="I4" s="37" t="inlineStr">
        <is>
          <t>Screenshot of the Student 'Quiz' destination</t>
        </is>
      </c>
      <c r="J4" s="43" t="inlineStr">
        <is>
          <t>NOT RUN</t>
        </is>
      </c>
      <c r="K4" s="37" t="inlineStr">
        <is>
          <t>Claude (pending env)</t>
        </is>
      </c>
      <c r="L4" s="37" t="n"/>
      <c r="M4" s="37" t="n"/>
      <c r="N4" s="37" t="inlineStr">
        <is>
          <t>[T4 | Phase 4 | Claude (pending env)] Playwright/authenticated-API against running env. awaiting running staging URL + test accounts</t>
        </is>
      </c>
    </row>
    <row r="5" ht="53.7" customHeight="1" s="29">
      <c r="A5" s="36" t="inlineStr">
        <is>
          <t>MX-NAV-0003</t>
        </is>
      </c>
      <c r="B5" s="54" t="inlineStr">
        <is>
          <t>P1</t>
        </is>
      </c>
      <c r="C5" s="36" t="inlineStr">
        <is>
          <t>Frontend/Nav</t>
        </is>
      </c>
      <c r="D5" s="36" t="inlineStr">
        <is>
          <t>Student · Diagnostic</t>
        </is>
      </c>
      <c r="E5" s="36" t="inlineStr">
        <is>
          <t>Confirms the 'Diagnostic' navigation destination for a Student lands on real content OR an explicit 'coming soon' — never a blank page, error, or dead end. A blank page once burned a live school demo; this matrix walks every nav item for every role so none is missed.</t>
        </is>
      </c>
      <c r="F5" s="36" t="inlineStr">
        <is>
          <t>A Student test account with representative data.</t>
        </is>
      </c>
      <c r="G5" s="36" t="inlineStr">
        <is>
          <t>1) Log in as Student. 2) Click 'Diagnostic' in the navigation. 3) Observe what renders.</t>
        </is>
      </c>
      <c r="H5" s="36" t="inlineStr">
        <is>
          <t>'Diagnostic' shows real content or a clean 'coming soon' fence; no blank page, no error, no dead-end; back-nav works.</t>
        </is>
      </c>
      <c r="I5" s="36" t="inlineStr">
        <is>
          <t>Screenshot of the Student 'Diagnostic' destination</t>
        </is>
      </c>
      <c r="J5" s="41" t="inlineStr">
        <is>
          <t>NOT RUN</t>
        </is>
      </c>
      <c r="K5" s="36" t="inlineStr">
        <is>
          <t>Claude (pending env)</t>
        </is>
      </c>
      <c r="L5" s="36" t="n"/>
      <c r="M5" s="36" t="n"/>
      <c r="N5" s="36" t="inlineStr">
        <is>
          <t>[T4 | Phase 4 | Claude (pending env)] Playwright/authenticated-API against running env. awaiting running staging URL + test accounts</t>
        </is>
      </c>
    </row>
    <row r="6" ht="53.7" customHeight="1" s="29">
      <c r="A6" s="37" t="inlineStr">
        <is>
          <t>MX-NAV-0004</t>
        </is>
      </c>
      <c r="B6" s="54" t="inlineStr">
        <is>
          <t>P1</t>
        </is>
      </c>
      <c r="C6" s="37" t="inlineStr">
        <is>
          <t>Frontend/Nav</t>
        </is>
      </c>
      <c r="D6" s="37" t="inlineStr">
        <is>
          <t>Student · Mock exam</t>
        </is>
      </c>
      <c r="E6" s="37" t="inlineStr">
        <is>
          <t>Confirms the 'Mock exam' navigation destination for a Student lands on real content OR an explicit 'coming soon' — never a blank page, error, or dead end. A blank page once burned a live school demo; this matrix walks every nav item for every role so none is missed.</t>
        </is>
      </c>
      <c r="F6" s="37" t="inlineStr">
        <is>
          <t>A Student test account with representative data.</t>
        </is>
      </c>
      <c r="G6" s="37" t="inlineStr">
        <is>
          <t>1) Log in as Student. 2) Click 'Mock exam' in the navigation. 3) Observe what renders.</t>
        </is>
      </c>
      <c r="H6" s="37" t="inlineStr">
        <is>
          <t>'Mock exam' shows real content or a clean 'coming soon' fence; no blank page, no error, no dead-end; back-nav works.</t>
        </is>
      </c>
      <c r="I6" s="37" t="inlineStr">
        <is>
          <t>Screenshot of the Student 'Mock exam' destination</t>
        </is>
      </c>
      <c r="J6" s="43" t="inlineStr">
        <is>
          <t>NOT RUN</t>
        </is>
      </c>
      <c r="K6" s="37" t="inlineStr">
        <is>
          <t>Claude (pending env)</t>
        </is>
      </c>
      <c r="L6" s="37" t="n"/>
      <c r="M6" s="37" t="n"/>
      <c r="N6" s="37" t="inlineStr">
        <is>
          <t>[T4 | Phase 4 | Claude (pending env)] Playwright/authenticated-API against running env. awaiting running staging URL + test accounts</t>
        </is>
      </c>
    </row>
    <row r="7" ht="53.7" customHeight="1" s="29">
      <c r="A7" s="36" t="inlineStr">
        <is>
          <t>MX-NAV-0005</t>
        </is>
      </c>
      <c r="B7" s="54" t="inlineStr">
        <is>
          <t>P1</t>
        </is>
      </c>
      <c r="C7" s="36" t="inlineStr">
        <is>
          <t>Frontend/Nav</t>
        </is>
      </c>
      <c r="D7" s="36" t="inlineStr">
        <is>
          <t>Student · Foxy tutor</t>
        </is>
      </c>
      <c r="E7" s="36" t="inlineStr">
        <is>
          <t>Confirms the 'Foxy tutor' navigation destination for a Student lands on real content OR an explicit 'coming soon' — never a blank page, error, or dead end. A blank page once burned a live school demo; this matrix walks every nav item for every role so none is missed.</t>
        </is>
      </c>
      <c r="F7" s="36" t="inlineStr">
        <is>
          <t>A Student test account with representative data.</t>
        </is>
      </c>
      <c r="G7" s="36" t="inlineStr">
        <is>
          <t>1) Log in as Student. 2) Click 'Foxy tutor' in the navigation. 3) Observe what renders.</t>
        </is>
      </c>
      <c r="H7" s="36" t="inlineStr">
        <is>
          <t>'Foxy tutor' shows real content or a clean 'coming soon' fence; no blank page, no error, no dead-end; back-nav works.</t>
        </is>
      </c>
      <c r="I7" s="36" t="inlineStr">
        <is>
          <t>Screenshot of the Student 'Foxy tutor' destination</t>
        </is>
      </c>
      <c r="J7" s="41" t="inlineStr">
        <is>
          <t>NOT RUN</t>
        </is>
      </c>
      <c r="K7" s="36" t="inlineStr">
        <is>
          <t>Claude (pending env)</t>
        </is>
      </c>
      <c r="L7" s="36" t="n"/>
      <c r="M7" s="36" t="n"/>
      <c r="N7" s="36" t="inlineStr">
        <is>
          <t>[T4 | Phase 4 | Claude (pending env)] Playwright/authenticated-API against running env. awaiting running staging URL + test accounts</t>
        </is>
      </c>
    </row>
    <row r="8" ht="53.7" customHeight="1" s="29">
      <c r="A8" s="37" t="inlineStr">
        <is>
          <t>MX-NAV-0006</t>
        </is>
      </c>
      <c r="B8" s="54" t="inlineStr">
        <is>
          <t>P1</t>
        </is>
      </c>
      <c r="C8" s="37" t="inlineStr">
        <is>
          <t>Frontend/Nav</t>
        </is>
      </c>
      <c r="D8" s="37" t="inlineStr">
        <is>
          <t>Student · Progress/Mastery</t>
        </is>
      </c>
      <c r="E8" s="37" t="inlineStr">
        <is>
          <t>Confirms the 'Progress/Mastery' navigation destination for a Student lands on real content OR an explicit 'coming soon' — never a blank page, error, or dead end. A blank page once burned a live school demo; this matrix walks every nav item for every role so none is missed.</t>
        </is>
      </c>
      <c r="F8" s="37" t="inlineStr">
        <is>
          <t>A Student test account with representative data.</t>
        </is>
      </c>
      <c r="G8" s="37" t="inlineStr">
        <is>
          <t>1) Log in as Student. 2) Click 'Progress/Mastery' in the navigation. 3) Observe what renders.</t>
        </is>
      </c>
      <c r="H8" s="37" t="inlineStr">
        <is>
          <t>'Progress/Mastery' shows real content or a clean 'coming soon' fence; no blank page, no error, no dead-end; back-nav works.</t>
        </is>
      </c>
      <c r="I8" s="37" t="inlineStr">
        <is>
          <t>Screenshot of the Student 'Progress/Mastery' destination</t>
        </is>
      </c>
      <c r="J8" s="43" t="inlineStr">
        <is>
          <t>NOT RUN</t>
        </is>
      </c>
      <c r="K8" s="37" t="inlineStr">
        <is>
          <t>Claude (pending env)</t>
        </is>
      </c>
      <c r="L8" s="37" t="n"/>
      <c r="M8" s="37" t="n"/>
      <c r="N8" s="37" t="inlineStr">
        <is>
          <t>[T4 | Phase 4 | Claude (pending env)] Playwright/authenticated-API against running env. awaiting running staging URL + test accounts</t>
        </is>
      </c>
    </row>
    <row r="9" ht="53.7" customHeight="1" s="29">
      <c r="A9" s="36" t="inlineStr">
        <is>
          <t>MX-NAV-0007</t>
        </is>
      </c>
      <c r="B9" s="54" t="inlineStr">
        <is>
          <t>P1</t>
        </is>
      </c>
      <c r="C9" s="36" t="inlineStr">
        <is>
          <t>Frontend/Nav</t>
        </is>
      </c>
      <c r="D9" s="36" t="inlineStr">
        <is>
          <t>Student · Subjects/Syllabus</t>
        </is>
      </c>
      <c r="E9" s="36" t="inlineStr">
        <is>
          <t>Confirms the 'Subjects/Syllabus' navigation destination for a Student lands on real content OR an explicit 'coming soon' — never a blank page, error, or dead end. A blank page once burned a live school demo; this matrix walks every nav item for every role so none is missed.</t>
        </is>
      </c>
      <c r="F9" s="36" t="inlineStr">
        <is>
          <t>A Student test account with representative data.</t>
        </is>
      </c>
      <c r="G9" s="36" t="inlineStr">
        <is>
          <t>1) Log in as Student. 2) Click 'Subjects/Syllabus' in the navigation. 3) Observe what renders.</t>
        </is>
      </c>
      <c r="H9" s="36" t="inlineStr">
        <is>
          <t>'Subjects/Syllabus' shows real content or a clean 'coming soon' fence; no blank page, no error, no dead-end; back-nav works.</t>
        </is>
      </c>
      <c r="I9" s="36" t="inlineStr">
        <is>
          <t>Screenshot of the Student 'Subjects/Syllabus' destination</t>
        </is>
      </c>
      <c r="J9" s="41" t="inlineStr">
        <is>
          <t>NOT RUN</t>
        </is>
      </c>
      <c r="K9" s="36" t="inlineStr">
        <is>
          <t>Claude (pending env)</t>
        </is>
      </c>
      <c r="L9" s="36" t="n"/>
      <c r="M9" s="36" t="n"/>
      <c r="N9" s="36" t="inlineStr">
        <is>
          <t>[T4 | Phase 4 | Claude (pending env)] Playwright/authenticated-API against running env. awaiting running staging URL + test accounts</t>
        </is>
      </c>
    </row>
    <row r="10" ht="53.7" customHeight="1" s="29">
      <c r="A10" s="37" t="inlineStr">
        <is>
          <t>MX-NAV-0008</t>
        </is>
      </c>
      <c r="B10" s="54" t="inlineStr">
        <is>
          <t>P1</t>
        </is>
      </c>
      <c r="C10" s="37" t="inlineStr">
        <is>
          <t>Frontend/Nav</t>
        </is>
      </c>
      <c r="D10" s="37" t="inlineStr">
        <is>
          <t>Student · Leaderboard</t>
        </is>
      </c>
      <c r="E10" s="37" t="inlineStr">
        <is>
          <t>Confirms the 'Leaderboard' navigation destination for a Student lands on real content OR an explicit 'coming soon' — never a blank page, error, or dead end. A blank page once burned a live school demo; this matrix walks every nav item for every role so none is missed.</t>
        </is>
      </c>
      <c r="F10" s="37" t="inlineStr">
        <is>
          <t>A Student test account with representative data.</t>
        </is>
      </c>
      <c r="G10" s="37" t="inlineStr">
        <is>
          <t>1) Log in as Student. 2) Click 'Leaderboard' in the navigation. 3) Observe what renders.</t>
        </is>
      </c>
      <c r="H10" s="37" t="inlineStr">
        <is>
          <t>'Leaderboard' shows real content or a clean 'coming soon' fence; no blank page, no error, no dead-end; back-nav works.</t>
        </is>
      </c>
      <c r="I10" s="37" t="inlineStr">
        <is>
          <t>Screenshot of the Student 'Leaderboard' destination</t>
        </is>
      </c>
      <c r="J10" s="43" t="inlineStr">
        <is>
          <t>NOT RUN</t>
        </is>
      </c>
      <c r="K10" s="37" t="inlineStr">
        <is>
          <t>Claude (pending env)</t>
        </is>
      </c>
      <c r="L10" s="37" t="n"/>
      <c r="M10" s="37" t="n"/>
      <c r="N10" s="37" t="inlineStr">
        <is>
          <t>[T4 | Phase 4 | Claude (pending env)] Playwright/authenticated-API against running env. awaiting running staging URL + test accounts</t>
        </is>
      </c>
    </row>
    <row r="11" ht="53.7" customHeight="1" s="29">
      <c r="A11" s="36" t="inlineStr">
        <is>
          <t>MX-NAV-0009</t>
        </is>
      </c>
      <c r="B11" s="54" t="inlineStr">
        <is>
          <t>P1</t>
        </is>
      </c>
      <c r="C11" s="36" t="inlineStr">
        <is>
          <t>Frontend/Nav</t>
        </is>
      </c>
      <c r="D11" s="36" t="inlineStr">
        <is>
          <t>Student · Rewards/XP</t>
        </is>
      </c>
      <c r="E11" s="36" t="inlineStr">
        <is>
          <t>Confirms the 'Rewards/XP' navigation destination for a Student lands on real content OR an explicit 'coming soon' — never a blank page, error, or dead end. A blank page once burned a live school demo; this matrix walks every nav item for every role so none is missed.</t>
        </is>
      </c>
      <c r="F11" s="36" t="inlineStr">
        <is>
          <t>A Student test account with representative data.</t>
        </is>
      </c>
      <c r="G11" s="36" t="inlineStr">
        <is>
          <t>1) Log in as Student. 2) Click 'Rewards/XP' in the navigation. 3) Observe what renders.</t>
        </is>
      </c>
      <c r="H11" s="36" t="inlineStr">
        <is>
          <t>'Rewards/XP' shows real content or a clean 'coming soon' fence; no blank page, no error, no dead-end; back-nav works.</t>
        </is>
      </c>
      <c r="I11" s="36" t="inlineStr">
        <is>
          <t>Screenshot of the Student 'Rewards/XP' destination</t>
        </is>
      </c>
      <c r="J11" s="41" t="inlineStr">
        <is>
          <t>NOT RUN</t>
        </is>
      </c>
      <c r="K11" s="36" t="inlineStr">
        <is>
          <t>Claude (pending env)</t>
        </is>
      </c>
      <c r="L11" s="36" t="n"/>
      <c r="M11" s="36" t="n"/>
      <c r="N11" s="36" t="inlineStr">
        <is>
          <t>[T4 | Phase 4 | Claude (pending env)] Playwright/authenticated-API against running env. awaiting running staging URL + test accounts</t>
        </is>
      </c>
    </row>
    <row r="12" ht="53.7" customHeight="1" s="29">
      <c r="A12" s="37" t="inlineStr">
        <is>
          <t>MX-NAV-0010</t>
        </is>
      </c>
      <c r="B12" s="54" t="inlineStr">
        <is>
          <t>P1</t>
        </is>
      </c>
      <c r="C12" s="37" t="inlineStr">
        <is>
          <t>Frontend/Nav</t>
        </is>
      </c>
      <c r="D12" s="37" t="inlineStr">
        <is>
          <t>Student · Streaks</t>
        </is>
      </c>
      <c r="E12" s="37" t="inlineStr">
        <is>
          <t>Confirms the 'Streaks' navigation destination for a Student lands on real content OR an explicit 'coming soon' — never a blank page, error, or dead end. A blank page once burned a live school demo; this matrix walks every nav item for every role so none is missed.</t>
        </is>
      </c>
      <c r="F12" s="37" t="inlineStr">
        <is>
          <t>A Student test account with representative data.</t>
        </is>
      </c>
      <c r="G12" s="37" t="inlineStr">
        <is>
          <t>1) Log in as Student. 2) Click 'Streaks' in the navigation. 3) Observe what renders.</t>
        </is>
      </c>
      <c r="H12" s="37" t="inlineStr">
        <is>
          <t>'Streaks' shows real content or a clean 'coming soon' fence; no blank page, no error, no dead-end; back-nav works.</t>
        </is>
      </c>
      <c r="I12" s="37" t="inlineStr">
        <is>
          <t>Screenshot of the Student 'Streaks' destination</t>
        </is>
      </c>
      <c r="J12" s="43" t="inlineStr">
        <is>
          <t>NOT RUN</t>
        </is>
      </c>
      <c r="K12" s="37" t="inlineStr">
        <is>
          <t>Claude (pending env)</t>
        </is>
      </c>
      <c r="L12" s="37" t="n"/>
      <c r="M12" s="37" t="n"/>
      <c r="N12" s="37" t="inlineStr">
        <is>
          <t>[T4 | Phase 4 | Claude (pending env)] Playwright/authenticated-API against running env. awaiting running staging URL + test accounts</t>
        </is>
      </c>
    </row>
    <row r="13" ht="53.7" customHeight="1" s="29">
      <c r="A13" s="36" t="inlineStr">
        <is>
          <t>MX-NAV-0011</t>
        </is>
      </c>
      <c r="B13" s="54" t="inlineStr">
        <is>
          <t>P1</t>
        </is>
      </c>
      <c r="C13" s="36" t="inlineStr">
        <is>
          <t>Frontend/Nav</t>
        </is>
      </c>
      <c r="D13" s="36" t="inlineStr">
        <is>
          <t>Student · Profile</t>
        </is>
      </c>
      <c r="E13" s="36" t="inlineStr">
        <is>
          <t>Confirms the 'Profile' navigation destination for a Student lands on real content OR an explicit 'coming soon' — never a blank page, error, or dead end. A blank page once burned a live school demo; this matrix walks every nav item for every role so none is missed.</t>
        </is>
      </c>
      <c r="F13" s="36" t="inlineStr">
        <is>
          <t>A Student test account with representative data.</t>
        </is>
      </c>
      <c r="G13" s="36" t="inlineStr">
        <is>
          <t>1) Log in as Student. 2) Click 'Profile' in the navigation. 3) Observe what renders.</t>
        </is>
      </c>
      <c r="H13" s="36" t="inlineStr">
        <is>
          <t>'Profile' shows real content or a clean 'coming soon' fence; no blank page, no error, no dead-end; back-nav works.</t>
        </is>
      </c>
      <c r="I13" s="36" t="inlineStr">
        <is>
          <t>Screenshot of the Student 'Profile' destination</t>
        </is>
      </c>
      <c r="J13" s="41" t="inlineStr">
        <is>
          <t>NOT RUN</t>
        </is>
      </c>
      <c r="K13" s="36" t="inlineStr">
        <is>
          <t>Claude (pending env)</t>
        </is>
      </c>
      <c r="L13" s="36" t="n"/>
      <c r="M13" s="36" t="n"/>
      <c r="N13" s="36" t="inlineStr">
        <is>
          <t>[T4 | Phase 4 | Claude (pending env)] Playwright/authenticated-API against running env. awaiting running staging URL + test accounts</t>
        </is>
      </c>
    </row>
    <row r="14" ht="53.7" customHeight="1" s="29">
      <c r="A14" s="37" t="inlineStr">
        <is>
          <t>MX-NAV-0012</t>
        </is>
      </c>
      <c r="B14" s="54" t="inlineStr">
        <is>
          <t>P1</t>
        </is>
      </c>
      <c r="C14" s="37" t="inlineStr">
        <is>
          <t>Frontend/Nav</t>
        </is>
      </c>
      <c r="D14" s="37" t="inlineStr">
        <is>
          <t>Student · Settings</t>
        </is>
      </c>
      <c r="E14" s="37" t="inlineStr">
        <is>
          <t>Confirms the 'Settings' navigation destination for a Student lands on real content OR an explicit 'coming soon' — never a blank page, error, or dead end. A blank page once burned a live school demo; this matrix walks every nav item for every role so none is missed.</t>
        </is>
      </c>
      <c r="F14" s="37" t="inlineStr">
        <is>
          <t>A Student test account with representative data.</t>
        </is>
      </c>
      <c r="G14" s="37" t="inlineStr">
        <is>
          <t>1) Log in as Student. 2) Click 'Settings' in the navigation. 3) Observe what renders.</t>
        </is>
      </c>
      <c r="H14" s="37" t="inlineStr">
        <is>
          <t>'Settings' shows real content or a clean 'coming soon' fence; no blank page, no error, no dead-end; back-nav works.</t>
        </is>
      </c>
      <c r="I14" s="37" t="inlineStr">
        <is>
          <t>Screenshot of the Student 'Settings' destination</t>
        </is>
      </c>
      <c r="J14" s="43" t="inlineStr">
        <is>
          <t>NOT RUN</t>
        </is>
      </c>
      <c r="K14" s="37" t="inlineStr">
        <is>
          <t>Claude (pending env)</t>
        </is>
      </c>
      <c r="L14" s="37" t="n"/>
      <c r="M14" s="37" t="n"/>
      <c r="N14" s="37" t="inlineStr">
        <is>
          <t>[T4 | Phase 4 | Claude (pending env)] Playwright/authenticated-API against running env. awaiting running staging URL + test accounts</t>
        </is>
      </c>
    </row>
    <row r="15" ht="53.7" customHeight="1" s="29">
      <c r="A15" s="36" t="inlineStr">
        <is>
          <t>MX-NAV-0013</t>
        </is>
      </c>
      <c r="B15" s="54" t="inlineStr">
        <is>
          <t>P1</t>
        </is>
      </c>
      <c r="C15" s="36" t="inlineStr">
        <is>
          <t>Frontend/Nav</t>
        </is>
      </c>
      <c r="D15" s="36" t="inlineStr">
        <is>
          <t>Student · Subscription/Plans</t>
        </is>
      </c>
      <c r="E15" s="36" t="inlineStr">
        <is>
          <t>Confirms the 'Subscription/Plans' navigation destination for a Student lands on real content OR an explicit 'coming soon' — never a blank page, error, or dead end. A blank page once burned a live school demo; this matrix walks every nav item for every role so none is missed.</t>
        </is>
      </c>
      <c r="F15" s="36" t="inlineStr">
        <is>
          <t>A Student test account with representative data.</t>
        </is>
      </c>
      <c r="G15" s="36" t="inlineStr">
        <is>
          <t>1) Log in as Student. 2) Click 'Subscription/Plans' in the navigation. 3) Observe what renders.</t>
        </is>
      </c>
      <c r="H15" s="36" t="inlineStr">
        <is>
          <t>'Subscription/Plans' shows real content or a clean 'coming soon' fence; no blank page, no error, no dead-end; back-nav works.</t>
        </is>
      </c>
      <c r="I15" s="36" t="inlineStr">
        <is>
          <t>Screenshot of the Student 'Subscription/Plans' destination</t>
        </is>
      </c>
      <c r="J15" s="41" t="inlineStr">
        <is>
          <t>NOT RUN</t>
        </is>
      </c>
      <c r="K15" s="36" t="inlineStr">
        <is>
          <t>Claude (pending env)</t>
        </is>
      </c>
      <c r="L15" s="36" t="n"/>
      <c r="M15" s="36" t="n"/>
      <c r="N15" s="36" t="inlineStr">
        <is>
          <t>[T4 | Phase 4 | Claude (pending env)] Playwright/authenticated-API against running env. awaiting running staging URL + test accounts</t>
        </is>
      </c>
    </row>
    <row r="16" ht="53.7" customHeight="1" s="29">
      <c r="A16" s="37" t="inlineStr">
        <is>
          <t>MX-NAV-0014</t>
        </is>
      </c>
      <c r="B16" s="54" t="inlineStr">
        <is>
          <t>P1</t>
        </is>
      </c>
      <c r="C16" s="37" t="inlineStr">
        <is>
          <t>Frontend/Nav</t>
        </is>
      </c>
      <c r="D16" s="37" t="inlineStr">
        <is>
          <t>Student · Help/Support</t>
        </is>
      </c>
      <c r="E16" s="37" t="inlineStr">
        <is>
          <t>Confirms the 'Help/Support' navigation destination for a Student lands on real content OR an explicit 'coming soon' — never a blank page, error, or dead end. A blank page once burned a live school demo; this matrix walks every nav item for every role so none is missed.</t>
        </is>
      </c>
      <c r="F16" s="37" t="inlineStr">
        <is>
          <t>A Student test account with representative data.</t>
        </is>
      </c>
      <c r="G16" s="37" t="inlineStr">
        <is>
          <t>1) Log in as Student. 2) Click 'Help/Support' in the navigation. 3) Observe what renders.</t>
        </is>
      </c>
      <c r="H16" s="37" t="inlineStr">
        <is>
          <t>'Help/Support' shows real content or a clean 'coming soon' fence; no blank page, no error, no dead-end; back-nav works.</t>
        </is>
      </c>
      <c r="I16" s="37" t="inlineStr">
        <is>
          <t>Screenshot of the Student 'Help/Support' destination</t>
        </is>
      </c>
      <c r="J16" s="43" t="inlineStr">
        <is>
          <t>NOT RUN</t>
        </is>
      </c>
      <c r="K16" s="37" t="inlineStr">
        <is>
          <t>Claude (pending env)</t>
        </is>
      </c>
      <c r="L16" s="37" t="n"/>
      <c r="M16" s="37" t="n"/>
      <c r="N16" s="37" t="inlineStr">
        <is>
          <t>[T4 | Phase 4 | Claude (pending env)] Playwright/authenticated-API against running env. awaiting running staging URL + test accounts</t>
        </is>
      </c>
    </row>
    <row r="17" ht="53.7" customHeight="1" s="29">
      <c r="A17" s="36" t="inlineStr">
        <is>
          <t>MX-NAV-0015</t>
        </is>
      </c>
      <c r="B17" s="54" t="inlineStr">
        <is>
          <t>P1</t>
        </is>
      </c>
      <c r="C17" s="36" t="inlineStr">
        <is>
          <t>Frontend/Nav</t>
        </is>
      </c>
      <c r="D17" s="36" t="inlineStr">
        <is>
          <t>Student · Notifications</t>
        </is>
      </c>
      <c r="E17" s="36" t="inlineStr">
        <is>
          <t>Confirms the 'Notifications' navigation destination for a Student lands on real content OR an explicit 'coming soon' — never a blank page, error, or dead end. A blank page once burned a live school demo; this matrix walks every nav item for every role so none is missed.</t>
        </is>
      </c>
      <c r="F17" s="36" t="inlineStr">
        <is>
          <t>A Student test account with representative data.</t>
        </is>
      </c>
      <c r="G17" s="36" t="inlineStr">
        <is>
          <t>1) Log in as Student. 2) Click 'Notifications' in the navigation. 3) Observe what renders.</t>
        </is>
      </c>
      <c r="H17" s="36" t="inlineStr">
        <is>
          <t>'Notifications' shows real content or a clean 'coming soon' fence; no blank page, no error, no dead-end; back-nav works.</t>
        </is>
      </c>
      <c r="I17" s="36" t="inlineStr">
        <is>
          <t>Screenshot of the Student 'Notifications' destination</t>
        </is>
      </c>
      <c r="J17" s="41" t="inlineStr">
        <is>
          <t>NOT RUN</t>
        </is>
      </c>
      <c r="K17" s="36" t="inlineStr">
        <is>
          <t>Claude (pending env)</t>
        </is>
      </c>
      <c r="L17" s="36" t="n"/>
      <c r="M17" s="36" t="n"/>
      <c r="N17" s="36" t="inlineStr">
        <is>
          <t>[T4 | Phase 4 | Claude (pending env)] Playwright/authenticated-API against running env. awaiting running staging URL + test accounts</t>
        </is>
      </c>
    </row>
    <row r="18" ht="53.7" customHeight="1" s="29">
      <c r="A18" s="37" t="inlineStr">
        <is>
          <t>MX-NAV-0016</t>
        </is>
      </c>
      <c r="B18" s="54" t="inlineStr">
        <is>
          <t>P1</t>
        </is>
      </c>
      <c r="C18" s="37" t="inlineStr">
        <is>
          <t>Frontend/Nav</t>
        </is>
      </c>
      <c r="D18" s="37" t="inlineStr">
        <is>
          <t>Parent · Portal home</t>
        </is>
      </c>
      <c r="E18" s="37" t="inlineStr">
        <is>
          <t>Confirms the 'Portal home' navigation destination for a Parent lands on real content OR an explicit 'coming soon' — never a blank page, error, or dead end. A blank page once burned a live school demo; this matrix walks every nav item for every role so none is missed.</t>
        </is>
      </c>
      <c r="F18" s="37" t="inlineStr">
        <is>
          <t>A Parent test account with representative data.</t>
        </is>
      </c>
      <c r="G18" s="37" t="inlineStr">
        <is>
          <t>1) Log in as Parent. 2) Click 'Portal home' in the navigation. 3) Observe what renders.</t>
        </is>
      </c>
      <c r="H18" s="37" t="inlineStr">
        <is>
          <t>'Portal home' shows real content or a clean 'coming soon' fence; no blank page, no error, no dead-end; back-nav works.</t>
        </is>
      </c>
      <c r="I18" s="37" t="inlineStr">
        <is>
          <t>Screenshot of the Parent 'Portal home' destination</t>
        </is>
      </c>
      <c r="J18" s="43" t="inlineStr">
        <is>
          <t>NOT RUN</t>
        </is>
      </c>
      <c r="K18" s="37" t="inlineStr">
        <is>
          <t>Claude (pending env)</t>
        </is>
      </c>
      <c r="L18" s="37" t="n"/>
      <c r="M18" s="37" t="n"/>
      <c r="N18" s="37" t="inlineStr">
        <is>
          <t>[T4 | Phase 4 | Claude (pending env)] Playwright/authenticated-API against running env. awaiting running staging URL + test accounts</t>
        </is>
      </c>
    </row>
    <row r="19" ht="53.7" customHeight="1" s="29">
      <c r="A19" s="36" t="inlineStr">
        <is>
          <t>MX-NAV-0017</t>
        </is>
      </c>
      <c r="B19" s="54" t="inlineStr">
        <is>
          <t>P1</t>
        </is>
      </c>
      <c r="C19" s="36" t="inlineStr">
        <is>
          <t>Frontend/Nav</t>
        </is>
      </c>
      <c r="D19" s="36" t="inlineStr">
        <is>
          <t>Parent · Child progress</t>
        </is>
      </c>
      <c r="E19" s="36" t="inlineStr">
        <is>
          <t>Confirms the 'Child progress' navigation destination for a Parent lands on real content OR an explicit 'coming soon' — never a blank page, error, or dead end. A blank page once burned a live school demo; this matrix walks every nav item for every role so none is missed.</t>
        </is>
      </c>
      <c r="F19" s="36" t="inlineStr">
        <is>
          <t>A Parent test account with representative data.</t>
        </is>
      </c>
      <c r="G19" s="36" t="inlineStr">
        <is>
          <t>1) Log in as Parent. 2) Click 'Child progress' in the navigation. 3) Observe what renders.</t>
        </is>
      </c>
      <c r="H19" s="36" t="inlineStr">
        <is>
          <t>'Child progress' shows real content or a clean 'coming soon' fence; no blank page, no error, no dead-end; back-nav works.</t>
        </is>
      </c>
      <c r="I19" s="36" t="inlineStr">
        <is>
          <t>Screenshot of the Parent 'Child progress' destination</t>
        </is>
      </c>
      <c r="J19" s="41" t="inlineStr">
        <is>
          <t>NOT RUN</t>
        </is>
      </c>
      <c r="K19" s="36" t="inlineStr">
        <is>
          <t>Claude (pending env)</t>
        </is>
      </c>
      <c r="L19" s="36" t="n"/>
      <c r="M19" s="36" t="n"/>
      <c r="N19" s="36" t="inlineStr">
        <is>
          <t>[T4 | Phase 4 | Claude (pending env)] Playwright/authenticated-API against running env. awaiting running staging URL + test accounts</t>
        </is>
      </c>
    </row>
    <row r="20" ht="53.7" customHeight="1" s="29">
      <c r="A20" s="37" t="inlineStr">
        <is>
          <t>MX-NAV-0018</t>
        </is>
      </c>
      <c r="B20" s="54" t="inlineStr">
        <is>
          <t>P1</t>
        </is>
      </c>
      <c r="C20" s="37" t="inlineStr">
        <is>
          <t>Frontend/Nav</t>
        </is>
      </c>
      <c r="D20" s="37" t="inlineStr">
        <is>
          <t>Parent · Weekly report</t>
        </is>
      </c>
      <c r="E20" s="37" t="inlineStr">
        <is>
          <t>Confirms the 'Weekly report' navigation destination for a Parent lands on real content OR an explicit 'coming soon' — never a blank page, error, or dead end. A blank page once burned a live school demo; this matrix walks every nav item for every role so none is missed.</t>
        </is>
      </c>
      <c r="F20" s="37" t="inlineStr">
        <is>
          <t>A Parent test account with representative data.</t>
        </is>
      </c>
      <c r="G20" s="37" t="inlineStr">
        <is>
          <t>1) Log in as Parent. 2) Click 'Weekly report' in the navigation. 3) Observe what renders.</t>
        </is>
      </c>
      <c r="H20" s="37" t="inlineStr">
        <is>
          <t>'Weekly report' shows real content or a clean 'coming soon' fence; no blank page, no error, no dead-end; back-nav works.</t>
        </is>
      </c>
      <c r="I20" s="37" t="inlineStr">
        <is>
          <t>Screenshot of the Parent 'Weekly report' destination</t>
        </is>
      </c>
      <c r="J20" s="43" t="inlineStr">
        <is>
          <t>NOT RUN</t>
        </is>
      </c>
      <c r="K20" s="37" t="inlineStr">
        <is>
          <t>Claude (pending env)</t>
        </is>
      </c>
      <c r="L20" s="37" t="n"/>
      <c r="M20" s="37" t="n"/>
      <c r="N20" s="37" t="inlineStr">
        <is>
          <t>[T4 | Phase 4 | Claude (pending env)] Playwright/authenticated-API against running env. awaiting running staging URL + test accounts</t>
        </is>
      </c>
    </row>
    <row r="21" ht="53.7" customHeight="1" s="29">
      <c r="A21" s="36" t="inlineStr">
        <is>
          <t>MX-NAV-0019</t>
        </is>
      </c>
      <c r="B21" s="54" t="inlineStr">
        <is>
          <t>P1</t>
        </is>
      </c>
      <c r="C21" s="36" t="inlineStr">
        <is>
          <t>Frontend/Nav</t>
        </is>
      </c>
      <c r="D21" s="36" t="inlineStr">
        <is>
          <t>Parent · Link child</t>
        </is>
      </c>
      <c r="E21" s="36" t="inlineStr">
        <is>
          <t>Confirms the 'Link child' navigation destination for a Parent lands on real content OR an explicit 'coming soon' — never a blank page, error, or dead end. A blank page once burned a live school demo; this matrix walks every nav item for every role so none is missed.</t>
        </is>
      </c>
      <c r="F21" s="36" t="inlineStr">
        <is>
          <t>A Parent test account with representative data.</t>
        </is>
      </c>
      <c r="G21" s="36" t="inlineStr">
        <is>
          <t>1) Log in as Parent. 2) Click 'Link child' in the navigation. 3) Observe what renders.</t>
        </is>
      </c>
      <c r="H21" s="36" t="inlineStr">
        <is>
          <t>'Link child' shows real content or a clean 'coming soon' fence; no blank page, no error, no dead-end; back-nav works.</t>
        </is>
      </c>
      <c r="I21" s="36" t="inlineStr">
        <is>
          <t>Screenshot of the Parent 'Link child' destination</t>
        </is>
      </c>
      <c r="J21" s="41" t="inlineStr">
        <is>
          <t>NOT RUN</t>
        </is>
      </c>
      <c r="K21" s="36" t="inlineStr">
        <is>
          <t>Claude (pending env)</t>
        </is>
      </c>
      <c r="L21" s="36" t="n"/>
      <c r="M21" s="36" t="n"/>
      <c r="N21" s="36" t="inlineStr">
        <is>
          <t>[T4 | Phase 4 | Claude (pending env)] Playwright/authenticated-API against running env. awaiting running staging URL + test accounts</t>
        </is>
      </c>
    </row>
    <row r="22" ht="53.7" customHeight="1" s="29">
      <c r="A22" s="37" t="inlineStr">
        <is>
          <t>MX-NAV-0020</t>
        </is>
      </c>
      <c r="B22" s="54" t="inlineStr">
        <is>
          <t>P1</t>
        </is>
      </c>
      <c r="C22" s="37" t="inlineStr">
        <is>
          <t>Frontend/Nav</t>
        </is>
      </c>
      <c r="D22" s="37" t="inlineStr">
        <is>
          <t>Parent · Consent</t>
        </is>
      </c>
      <c r="E22" s="37" t="inlineStr">
        <is>
          <t>Confirms the 'Consent' navigation destination for a Parent lands on real content OR an explicit 'coming soon' — never a blank page, error, or dead end. A blank page once burned a live school demo; this matrix walks every nav item for every role so none is missed.</t>
        </is>
      </c>
      <c r="F22" s="37" t="inlineStr">
        <is>
          <t>A Parent test account with representative data.</t>
        </is>
      </c>
      <c r="G22" s="37" t="inlineStr">
        <is>
          <t>1) Log in as Parent. 2) Click 'Consent' in the navigation. 3) Observe what renders.</t>
        </is>
      </c>
      <c r="H22" s="37" t="inlineStr">
        <is>
          <t>'Consent' shows real content or a clean 'coming soon' fence; no blank page, no error, no dead-end; back-nav works.</t>
        </is>
      </c>
      <c r="I22" s="37" t="inlineStr">
        <is>
          <t>Screenshot of the Parent 'Consent' destination</t>
        </is>
      </c>
      <c r="J22" s="43" t="inlineStr">
        <is>
          <t>NOT RUN</t>
        </is>
      </c>
      <c r="K22" s="37" t="inlineStr">
        <is>
          <t>Claude (pending env)</t>
        </is>
      </c>
      <c r="L22" s="37" t="n"/>
      <c r="M22" s="37" t="n"/>
      <c r="N22" s="37" t="inlineStr">
        <is>
          <t>[T4 | Phase 4 | Claude (pending env)] Playwright/authenticated-API against running env. awaiting running staging URL + test accounts</t>
        </is>
      </c>
    </row>
    <row r="23" ht="53.7" customHeight="1" s="29">
      <c r="A23" s="36" t="inlineStr">
        <is>
          <t>MX-NAV-0021</t>
        </is>
      </c>
      <c r="B23" s="54" t="inlineStr">
        <is>
          <t>P1</t>
        </is>
      </c>
      <c r="C23" s="36" t="inlineStr">
        <is>
          <t>Frontend/Nav</t>
        </is>
      </c>
      <c r="D23" s="36" t="inlineStr">
        <is>
          <t>Parent · Messages</t>
        </is>
      </c>
      <c r="E23" s="36" t="inlineStr">
        <is>
          <t>Confirms the 'Messages' navigation destination for a Parent lands on real content OR an explicit 'coming soon' — never a blank page, error, or dead end. A blank page once burned a live school demo; this matrix walks every nav item for every role so none is missed.</t>
        </is>
      </c>
      <c r="F23" s="36" t="inlineStr">
        <is>
          <t>A Parent test account with representative data.</t>
        </is>
      </c>
      <c r="G23" s="36" t="inlineStr">
        <is>
          <t>1) Log in as Parent. 2) Click 'Messages' in the navigation. 3) Observe what renders.</t>
        </is>
      </c>
      <c r="H23" s="36" t="inlineStr">
        <is>
          <t>'Messages' shows real content or a clean 'coming soon' fence; no blank page, no error, no dead-end; back-nav works.</t>
        </is>
      </c>
      <c r="I23" s="36" t="inlineStr">
        <is>
          <t>Screenshot of the Parent 'Messages' destination</t>
        </is>
      </c>
      <c r="J23" s="41" t="inlineStr">
        <is>
          <t>NOT RUN</t>
        </is>
      </c>
      <c r="K23" s="36" t="inlineStr">
        <is>
          <t>Claude (pending env)</t>
        </is>
      </c>
      <c r="L23" s="36" t="n"/>
      <c r="M23" s="36" t="n"/>
      <c r="N23" s="36" t="inlineStr">
        <is>
          <t>[T4 | Phase 4 | Claude (pending env)] Playwright/authenticated-API against running env. awaiting running staging URL + test accounts</t>
        </is>
      </c>
    </row>
    <row r="24" ht="53.7" customHeight="1" s="29">
      <c r="A24" s="37" t="inlineStr">
        <is>
          <t>MX-NAV-0022</t>
        </is>
      </c>
      <c r="B24" s="54" t="inlineStr">
        <is>
          <t>P1</t>
        </is>
      </c>
      <c r="C24" s="37" t="inlineStr">
        <is>
          <t>Frontend/Nav</t>
        </is>
      </c>
      <c r="D24" s="37" t="inlineStr">
        <is>
          <t>Parent · Subscription/Billing</t>
        </is>
      </c>
      <c r="E24" s="37" t="inlineStr">
        <is>
          <t>Confirms the 'Subscription/Billing' navigation destination for a Parent lands on real content OR an explicit 'coming soon' — never a blank page, error, or dead end. A blank page once burned a live school demo; this matrix walks every nav item for every role so none is missed.</t>
        </is>
      </c>
      <c r="F24" s="37" t="inlineStr">
        <is>
          <t>A Parent test account with representative data.</t>
        </is>
      </c>
      <c r="G24" s="37" t="inlineStr">
        <is>
          <t>1) Log in as Parent. 2) Click 'Subscription/Billing' in the navigation. 3) Observe what renders.</t>
        </is>
      </c>
      <c r="H24" s="37" t="inlineStr">
        <is>
          <t>'Subscription/Billing' shows real content or a clean 'coming soon' fence; no blank page, no error, no dead-end; back-nav works.</t>
        </is>
      </c>
      <c r="I24" s="37" t="inlineStr">
        <is>
          <t>Screenshot of the Parent 'Subscription/Billing' destination</t>
        </is>
      </c>
      <c r="J24" s="43" t="inlineStr">
        <is>
          <t>NOT RUN</t>
        </is>
      </c>
      <c r="K24" s="37" t="inlineStr">
        <is>
          <t>Claude (pending env)</t>
        </is>
      </c>
      <c r="L24" s="37" t="n"/>
      <c r="M24" s="37" t="n"/>
      <c r="N24" s="37" t="inlineStr">
        <is>
          <t>[T4 | Phase 4 | Claude (pending env)] Playwright/authenticated-API against running env. awaiting running staging URL + test accounts</t>
        </is>
      </c>
    </row>
    <row r="25" ht="53.7" customHeight="1" s="29">
      <c r="A25" s="36" t="inlineStr">
        <is>
          <t>MX-NAV-0023</t>
        </is>
      </c>
      <c r="B25" s="54" t="inlineStr">
        <is>
          <t>P1</t>
        </is>
      </c>
      <c r="C25" s="36" t="inlineStr">
        <is>
          <t>Frontend/Nav</t>
        </is>
      </c>
      <c r="D25" s="36" t="inlineStr">
        <is>
          <t>Parent · Settings</t>
        </is>
      </c>
      <c r="E25" s="36" t="inlineStr">
        <is>
          <t>Confirms the 'Settings' navigation destination for a Parent lands on real content OR an explicit 'coming soon' — never a blank page, error, or dead end. A blank page once burned a live school demo; this matrix walks every nav item for every role so none is missed.</t>
        </is>
      </c>
      <c r="F25" s="36" t="inlineStr">
        <is>
          <t>A Parent test account with representative data.</t>
        </is>
      </c>
      <c r="G25" s="36" t="inlineStr">
        <is>
          <t>1) Log in as Parent. 2) Click 'Settings' in the navigation. 3) Observe what renders.</t>
        </is>
      </c>
      <c r="H25" s="36" t="inlineStr">
        <is>
          <t>'Settings' shows real content or a clean 'coming soon' fence; no blank page, no error, no dead-end; back-nav works.</t>
        </is>
      </c>
      <c r="I25" s="36" t="inlineStr">
        <is>
          <t>Screenshot of the Parent 'Settings' destination</t>
        </is>
      </c>
      <c r="J25" s="41" t="inlineStr">
        <is>
          <t>NOT RUN</t>
        </is>
      </c>
      <c r="K25" s="36" t="inlineStr">
        <is>
          <t>Claude (pending env)</t>
        </is>
      </c>
      <c r="L25" s="36" t="n"/>
      <c r="M25" s="36" t="n"/>
      <c r="N25" s="36" t="inlineStr">
        <is>
          <t>[T4 | Phase 4 | Claude (pending env)] Playwright/authenticated-API against running env. awaiting running staging URL + test accounts</t>
        </is>
      </c>
    </row>
    <row r="26" ht="53.7" customHeight="1" s="29">
      <c r="A26" s="37" t="inlineStr">
        <is>
          <t>MX-NAV-0024</t>
        </is>
      </c>
      <c r="B26" s="54" t="inlineStr">
        <is>
          <t>P1</t>
        </is>
      </c>
      <c r="C26" s="37" t="inlineStr">
        <is>
          <t>Frontend/Nav</t>
        </is>
      </c>
      <c r="D26" s="37" t="inlineStr">
        <is>
          <t>Parent · Help</t>
        </is>
      </c>
      <c r="E26" s="37" t="inlineStr">
        <is>
          <t>Confirms the 'Help' navigation destination for a Parent lands on real content OR an explicit 'coming soon' — never a blank page, error, or dead end. A blank page once burned a live school demo; this matrix walks every nav item for every role so none is missed.</t>
        </is>
      </c>
      <c r="F26" s="37" t="inlineStr">
        <is>
          <t>A Parent test account with representative data.</t>
        </is>
      </c>
      <c r="G26" s="37" t="inlineStr">
        <is>
          <t>1) Log in as Parent. 2) Click 'Help' in the navigation. 3) Observe what renders.</t>
        </is>
      </c>
      <c r="H26" s="37" t="inlineStr">
        <is>
          <t>'Help' shows real content or a clean 'coming soon' fence; no blank page, no error, no dead-end; back-nav works.</t>
        </is>
      </c>
      <c r="I26" s="37" t="inlineStr">
        <is>
          <t>Screenshot of the Parent 'Help' destination</t>
        </is>
      </c>
      <c r="J26" s="43" t="inlineStr">
        <is>
          <t>NOT RUN</t>
        </is>
      </c>
      <c r="K26" s="37" t="inlineStr">
        <is>
          <t>Claude (pending env)</t>
        </is>
      </c>
      <c r="L26" s="37" t="n"/>
      <c r="M26" s="37" t="n"/>
      <c r="N26" s="37" t="inlineStr">
        <is>
          <t>[T4 | Phase 4 | Claude (pending env)] Playwright/authenticated-API against running env. awaiting running staging URL + test accounts</t>
        </is>
      </c>
    </row>
    <row r="27" ht="53.7" customHeight="1" s="29">
      <c r="A27" s="36" t="inlineStr">
        <is>
          <t>MX-NAV-0025</t>
        </is>
      </c>
      <c r="B27" s="54" t="inlineStr">
        <is>
          <t>P1</t>
        </is>
      </c>
      <c r="C27" s="36" t="inlineStr">
        <is>
          <t>Frontend/Nav</t>
        </is>
      </c>
      <c r="D27" s="36" t="inlineStr">
        <is>
          <t>Teacher · Dashboard</t>
        </is>
      </c>
      <c r="E27" s="36" t="inlineStr">
        <is>
          <t>Confirms the 'Dashboard' navigation destination for a Teacher lands on real content OR an explicit 'coming soon' — never a blank page, error, or dead end. A blank page once burned a live school demo; this matrix walks every nav item for every role so none is missed.</t>
        </is>
      </c>
      <c r="F27" s="36" t="inlineStr">
        <is>
          <t>A Teacher test account with representative data.</t>
        </is>
      </c>
      <c r="G27" s="36" t="inlineStr">
        <is>
          <t>1) Log in as Teacher. 2) Click 'Dashboard' in the navigation. 3) Observe what renders.</t>
        </is>
      </c>
      <c r="H27" s="36" t="inlineStr">
        <is>
          <t>'Dashboard' shows real content or a clean 'coming soon' fence; no blank page, no error, no dead-end; back-nav works.</t>
        </is>
      </c>
      <c r="I27" s="36" t="inlineStr">
        <is>
          <t>Screenshot of the Teacher 'Dashboard' destination</t>
        </is>
      </c>
      <c r="J27" s="41" t="inlineStr">
        <is>
          <t>NOT RUN</t>
        </is>
      </c>
      <c r="K27" s="36" t="inlineStr">
        <is>
          <t>Claude (pending env)</t>
        </is>
      </c>
      <c r="L27" s="36" t="n"/>
      <c r="M27" s="36" t="n"/>
      <c r="N27" s="36" t="inlineStr">
        <is>
          <t>[T4 | Phase 4 | Claude (pending env)] Playwright/authenticated-API against running env. awaiting running staging URL + test accounts</t>
        </is>
      </c>
    </row>
    <row r="28" ht="53.7" customHeight="1" s="29">
      <c r="A28" s="37" t="inlineStr">
        <is>
          <t>MX-NAV-0026</t>
        </is>
      </c>
      <c r="B28" s="54" t="inlineStr">
        <is>
          <t>P1</t>
        </is>
      </c>
      <c r="C28" s="37" t="inlineStr">
        <is>
          <t>Frontend/Nav</t>
        </is>
      </c>
      <c r="D28" s="37" t="inlineStr">
        <is>
          <t>Teacher · Class roster</t>
        </is>
      </c>
      <c r="E28" s="37" t="inlineStr">
        <is>
          <t>Confirms the 'Class roster' navigation destination for a Teacher lands on real content OR an explicit 'coming soon' — never a blank page, error, or dead end. A blank page once burned a live school demo; this matrix walks every nav item for every role so none is missed.</t>
        </is>
      </c>
      <c r="F28" s="37" t="inlineStr">
        <is>
          <t>A Teacher test account with representative data.</t>
        </is>
      </c>
      <c r="G28" s="37" t="inlineStr">
        <is>
          <t>1) Log in as Teacher. 2) Click 'Class roster' in the navigation. 3) Observe what renders.</t>
        </is>
      </c>
      <c r="H28" s="37" t="inlineStr">
        <is>
          <t>'Class roster' shows real content or a clean 'coming soon' fence; no blank page, no error, no dead-end; back-nav works.</t>
        </is>
      </c>
      <c r="I28" s="37" t="inlineStr">
        <is>
          <t>Screenshot of the Teacher 'Class roster' destination</t>
        </is>
      </c>
      <c r="J28" s="43" t="inlineStr">
        <is>
          <t>NOT RUN</t>
        </is>
      </c>
      <c r="K28" s="37" t="inlineStr">
        <is>
          <t>Claude (pending env)</t>
        </is>
      </c>
      <c r="L28" s="37" t="n"/>
      <c r="M28" s="37" t="n"/>
      <c r="N28" s="37" t="inlineStr">
        <is>
          <t>[T4 | Phase 4 | Claude (pending env)] Playwright/authenticated-API against running env. awaiting running staging URL + test accounts</t>
        </is>
      </c>
    </row>
    <row r="29" ht="53.7" customHeight="1" s="29">
      <c r="A29" s="36" t="inlineStr">
        <is>
          <t>MX-NAV-0027</t>
        </is>
      </c>
      <c r="B29" s="54" t="inlineStr">
        <is>
          <t>P1</t>
        </is>
      </c>
      <c r="C29" s="36" t="inlineStr">
        <is>
          <t>Frontend/Nav</t>
        </is>
      </c>
      <c r="D29" s="36" t="inlineStr">
        <is>
          <t>Teacher · Mastery heatmap</t>
        </is>
      </c>
      <c r="E29" s="36" t="inlineStr">
        <is>
          <t>Confirms the 'Mastery heatmap' navigation destination for a Teacher lands on real content OR an explicit 'coming soon' — never a blank page, error, or dead end. A blank page once burned a live school demo; this matrix walks every nav item for every role so none is missed.</t>
        </is>
      </c>
      <c r="F29" s="36" t="inlineStr">
        <is>
          <t>A Teacher test account with representative data.</t>
        </is>
      </c>
      <c r="G29" s="36" t="inlineStr">
        <is>
          <t>1) Log in as Teacher. 2) Click 'Mastery heatmap' in the navigation. 3) Observe what renders.</t>
        </is>
      </c>
      <c r="H29" s="36" t="inlineStr">
        <is>
          <t>'Mastery heatmap' shows real content or a clean 'coming soon' fence; no blank page, no error, no dead-end; back-nav works.</t>
        </is>
      </c>
      <c r="I29" s="36" t="inlineStr">
        <is>
          <t>Screenshot of the Teacher 'Mastery heatmap' destination</t>
        </is>
      </c>
      <c r="J29" s="41" t="inlineStr">
        <is>
          <t>NOT RUN</t>
        </is>
      </c>
      <c r="K29" s="36" t="inlineStr">
        <is>
          <t>Claude (pending env)</t>
        </is>
      </c>
      <c r="L29" s="36" t="n"/>
      <c r="M29" s="36" t="n"/>
      <c r="N29" s="36" t="inlineStr">
        <is>
          <t>[T4 | Phase 4 | Claude (pending env)] Playwright/authenticated-API against running env. awaiting running staging URL + test accounts</t>
        </is>
      </c>
    </row>
    <row r="30" ht="53.7" customHeight="1" s="29">
      <c r="A30" s="37" t="inlineStr">
        <is>
          <t>MX-NAV-0028</t>
        </is>
      </c>
      <c r="B30" s="54" t="inlineStr">
        <is>
          <t>P1</t>
        </is>
      </c>
      <c r="C30" s="37" t="inlineStr">
        <is>
          <t>Frontend/Nav</t>
        </is>
      </c>
      <c r="D30" s="37" t="inlineStr">
        <is>
          <t>Teacher · At-risk list</t>
        </is>
      </c>
      <c r="E30" s="37" t="inlineStr">
        <is>
          <t>Confirms the 'At-risk list' navigation destination for a Teacher lands on real content OR an explicit 'coming soon' — never a blank page, error, or dead end. A blank page once burned a live school demo; this matrix walks every nav item for every role so none is missed.</t>
        </is>
      </c>
      <c r="F30" s="37" t="inlineStr">
        <is>
          <t>A Teacher test account with representative data.</t>
        </is>
      </c>
      <c r="G30" s="37" t="inlineStr">
        <is>
          <t>1) Log in as Teacher. 2) Click 'At-risk list' in the navigation. 3) Observe what renders.</t>
        </is>
      </c>
      <c r="H30" s="37" t="inlineStr">
        <is>
          <t>'At-risk list' shows real content or a clean 'coming soon' fence; no blank page, no error, no dead-end; back-nav works.</t>
        </is>
      </c>
      <c r="I30" s="37" t="inlineStr">
        <is>
          <t>Screenshot of the Teacher 'At-risk list' destination</t>
        </is>
      </c>
      <c r="J30" s="43" t="inlineStr">
        <is>
          <t>NOT RUN</t>
        </is>
      </c>
      <c r="K30" s="37" t="inlineStr">
        <is>
          <t>Claude (pending env)</t>
        </is>
      </c>
      <c r="L30" s="37" t="n"/>
      <c r="M30" s="37" t="n"/>
      <c r="N30" s="37" t="inlineStr">
        <is>
          <t>[T4 | Phase 4 | Claude (pending env)] Playwright/authenticated-API against running env. awaiting running staging URL + test accounts</t>
        </is>
      </c>
    </row>
    <row r="31" ht="53.7" customHeight="1" s="29">
      <c r="A31" s="36" t="inlineStr">
        <is>
          <t>MX-NAV-0029</t>
        </is>
      </c>
      <c r="B31" s="54" t="inlineStr">
        <is>
          <t>P1</t>
        </is>
      </c>
      <c r="C31" s="36" t="inlineStr">
        <is>
          <t>Frontend/Nav</t>
        </is>
      </c>
      <c r="D31" s="36" t="inlineStr">
        <is>
          <t>Teacher · Assign remediation</t>
        </is>
      </c>
      <c r="E31" s="36" t="inlineStr">
        <is>
          <t>Confirms the 'Assign remediation' navigation destination for a Teacher lands on real content OR an explicit 'coming soon' — never a blank page, error, or dead end. A blank page once burned a live school demo; this matrix walks every nav item for every role so none is missed.</t>
        </is>
      </c>
      <c r="F31" s="36" t="inlineStr">
        <is>
          <t>A Teacher test account with representative data.</t>
        </is>
      </c>
      <c r="G31" s="36" t="inlineStr">
        <is>
          <t>1) Log in as Teacher. 2) Click 'Assign remediation' in the navigation. 3) Observe what renders.</t>
        </is>
      </c>
      <c r="H31" s="36" t="inlineStr">
        <is>
          <t>'Assign remediation' shows real content or a clean 'coming soon' fence; no blank page, no error, no dead-end; back-nav works.</t>
        </is>
      </c>
      <c r="I31" s="36" t="inlineStr">
        <is>
          <t>Screenshot of the Teacher 'Assign remediation' destination</t>
        </is>
      </c>
      <c r="J31" s="41" t="inlineStr">
        <is>
          <t>NOT RUN</t>
        </is>
      </c>
      <c r="K31" s="36" t="inlineStr">
        <is>
          <t>Claude (pending env)</t>
        </is>
      </c>
      <c r="L31" s="36" t="n"/>
      <c r="M31" s="36" t="n"/>
      <c r="N31" s="36" t="inlineStr">
        <is>
          <t>[T4 | Phase 4 | Claude (pending env)] Playwright/authenticated-API against running env. awaiting running staging URL + test accounts</t>
        </is>
      </c>
    </row>
    <row r="32" ht="53.7" customHeight="1" s="29">
      <c r="A32" s="37" t="inlineStr">
        <is>
          <t>MX-NAV-0030</t>
        </is>
      </c>
      <c r="B32" s="54" t="inlineStr">
        <is>
          <t>P1</t>
        </is>
      </c>
      <c r="C32" s="37" t="inlineStr">
        <is>
          <t>Frontend/Nav</t>
        </is>
      </c>
      <c r="D32" s="37" t="inlineStr">
        <is>
          <t>Teacher · Assignments</t>
        </is>
      </c>
      <c r="E32" s="37" t="inlineStr">
        <is>
          <t>Confirms the 'Assignments' navigation destination for a Teacher lands on real content OR an explicit 'coming soon' — never a blank page, error, or dead end. A blank page once burned a live school demo; this matrix walks every nav item for every role so none is missed.</t>
        </is>
      </c>
      <c r="F32" s="37" t="inlineStr">
        <is>
          <t>A Teacher test account with representative data.</t>
        </is>
      </c>
      <c r="G32" s="37" t="inlineStr">
        <is>
          <t>1) Log in as Teacher. 2) Click 'Assignments' in the navigation. 3) Observe what renders.</t>
        </is>
      </c>
      <c r="H32" s="37" t="inlineStr">
        <is>
          <t>'Assignments' shows real content or a clean 'coming soon' fence; no blank page, no error, no dead-end; back-nav works.</t>
        </is>
      </c>
      <c r="I32" s="37" t="inlineStr">
        <is>
          <t>Screenshot of the Teacher 'Assignments' destination</t>
        </is>
      </c>
      <c r="J32" s="43" t="inlineStr">
        <is>
          <t>NOT RUN</t>
        </is>
      </c>
      <c r="K32" s="37" t="inlineStr">
        <is>
          <t>Claude (pending env)</t>
        </is>
      </c>
      <c r="L32" s="37" t="n"/>
      <c r="M32" s="37" t="n"/>
      <c r="N32" s="37" t="inlineStr">
        <is>
          <t>[T4 | Phase 4 | Claude (pending env)] Playwright/authenticated-API against running env. awaiting running staging URL + test accounts</t>
        </is>
      </c>
    </row>
    <row r="33" ht="53.7" customHeight="1" s="29">
      <c r="A33" s="36" t="inlineStr">
        <is>
          <t>MX-NAV-0031</t>
        </is>
      </c>
      <c r="B33" s="54" t="inlineStr">
        <is>
          <t>P1</t>
        </is>
      </c>
      <c r="C33" s="36" t="inlineStr">
        <is>
          <t>Frontend/Nav</t>
        </is>
      </c>
      <c r="D33" s="36" t="inlineStr">
        <is>
          <t>Teacher · Formative check</t>
        </is>
      </c>
      <c r="E33" s="36" t="inlineStr">
        <is>
          <t>Confirms the 'Formative check' navigation destination for a Teacher lands on real content OR an explicit 'coming soon' — never a blank page, error, or dead end. A blank page once burned a live school demo; this matrix walks every nav item for every role so none is missed.</t>
        </is>
      </c>
      <c r="F33" s="36" t="inlineStr">
        <is>
          <t>A Teacher test account with representative data.</t>
        </is>
      </c>
      <c r="G33" s="36" t="inlineStr">
        <is>
          <t>1) Log in as Teacher. 2) Click 'Formative check' in the navigation. 3) Observe what renders.</t>
        </is>
      </c>
      <c r="H33" s="36" t="inlineStr">
        <is>
          <t>'Formative check' shows real content or a clean 'coming soon' fence; no blank page, no error, no dead-end; back-nav works.</t>
        </is>
      </c>
      <c r="I33" s="36" t="inlineStr">
        <is>
          <t>Screenshot of the Teacher 'Formative check' destination</t>
        </is>
      </c>
      <c r="J33" s="41" t="inlineStr">
        <is>
          <t>NOT RUN</t>
        </is>
      </c>
      <c r="K33" s="36" t="inlineStr">
        <is>
          <t>Claude (pending env)</t>
        </is>
      </c>
      <c r="L33" s="36" t="n"/>
      <c r="M33" s="36" t="n"/>
      <c r="N33" s="36" t="inlineStr">
        <is>
          <t>[T4 | Phase 4 | Claude (pending env)] Playwright/authenticated-API against running env. awaiting running staging URL + test accounts</t>
        </is>
      </c>
    </row>
    <row r="34" ht="53.7" customHeight="1" s="29">
      <c r="A34" s="37" t="inlineStr">
        <is>
          <t>MX-NAV-0032</t>
        </is>
      </c>
      <c r="B34" s="54" t="inlineStr">
        <is>
          <t>P1</t>
        </is>
      </c>
      <c r="C34" s="37" t="inlineStr">
        <is>
          <t>Frontend/Nav</t>
        </is>
      </c>
      <c r="D34" s="37" t="inlineStr">
        <is>
          <t>Teacher · Parent messages</t>
        </is>
      </c>
      <c r="E34" s="37" t="inlineStr">
        <is>
          <t>Confirms the 'Parent messages' navigation destination for a Teacher lands on real content OR an explicit 'coming soon' — never a blank page, error, or dead end. A blank page once burned a live school demo; this matrix walks every nav item for every role so none is missed.</t>
        </is>
      </c>
      <c r="F34" s="37" t="inlineStr">
        <is>
          <t>A Teacher test account with representative data.</t>
        </is>
      </c>
      <c r="G34" s="37" t="inlineStr">
        <is>
          <t>1) Log in as Teacher. 2) Click 'Parent messages' in the navigation. 3) Observe what renders.</t>
        </is>
      </c>
      <c r="H34" s="37" t="inlineStr">
        <is>
          <t>'Parent messages' shows real content or a clean 'coming soon' fence; no blank page, no error, no dead-end; back-nav works.</t>
        </is>
      </c>
      <c r="I34" s="37" t="inlineStr">
        <is>
          <t>Screenshot of the Teacher 'Parent messages' destination</t>
        </is>
      </c>
      <c r="J34" s="43" t="inlineStr">
        <is>
          <t>NOT RUN</t>
        </is>
      </c>
      <c r="K34" s="37" t="inlineStr">
        <is>
          <t>Claude (pending env)</t>
        </is>
      </c>
      <c r="L34" s="37" t="n"/>
      <c r="M34" s="37" t="n"/>
      <c r="N34" s="37" t="inlineStr">
        <is>
          <t>[T4 | Phase 4 | Claude (pending env)] Playwright/authenticated-API against running env. awaiting running staging URL + test accounts</t>
        </is>
      </c>
    </row>
    <row r="35" ht="53.7" customHeight="1" s="29">
      <c r="A35" s="36" t="inlineStr">
        <is>
          <t>MX-NAV-0033</t>
        </is>
      </c>
      <c r="B35" s="54" t="inlineStr">
        <is>
          <t>P1</t>
        </is>
      </c>
      <c r="C35" s="36" t="inlineStr">
        <is>
          <t>Frontend/Nav</t>
        </is>
      </c>
      <c r="D35" s="36" t="inlineStr">
        <is>
          <t>Teacher · Reports</t>
        </is>
      </c>
      <c r="E35" s="36" t="inlineStr">
        <is>
          <t>Confirms the 'Reports' navigation destination for a Teacher lands on real content OR an explicit 'coming soon' — never a blank page, error, or dead end. A blank page once burned a live school demo; this matrix walks every nav item for every role so none is missed.</t>
        </is>
      </c>
      <c r="F35" s="36" t="inlineStr">
        <is>
          <t>A Teacher test account with representative data.</t>
        </is>
      </c>
      <c r="G35" s="36" t="inlineStr">
        <is>
          <t>1) Log in as Teacher. 2) Click 'Reports' in the navigation. 3) Observe what renders.</t>
        </is>
      </c>
      <c r="H35" s="36" t="inlineStr">
        <is>
          <t>'Reports' shows real content or a clean 'coming soon' fence; no blank page, no error, no dead-end; back-nav works.</t>
        </is>
      </c>
      <c r="I35" s="36" t="inlineStr">
        <is>
          <t>Screenshot of the Teacher 'Reports' destination</t>
        </is>
      </c>
      <c r="J35" s="41" t="inlineStr">
        <is>
          <t>NOT RUN</t>
        </is>
      </c>
      <c r="K35" s="36" t="inlineStr">
        <is>
          <t>Claude (pending env)</t>
        </is>
      </c>
      <c r="L35" s="36" t="n"/>
      <c r="M35" s="36" t="n"/>
      <c r="N35" s="36" t="inlineStr">
        <is>
          <t>[T4 | Phase 4 | Claude (pending env)] Playwright/authenticated-API against running env. awaiting running staging URL + test accounts</t>
        </is>
      </c>
    </row>
    <row r="36" ht="53.7" customHeight="1" s="29">
      <c r="A36" s="37" t="inlineStr">
        <is>
          <t>MX-NAV-0034</t>
        </is>
      </c>
      <c r="B36" s="54" t="inlineStr">
        <is>
          <t>P1</t>
        </is>
      </c>
      <c r="C36" s="37" t="inlineStr">
        <is>
          <t>Frontend/Nav</t>
        </is>
      </c>
      <c r="D36" s="37" t="inlineStr">
        <is>
          <t>Teacher · Settings</t>
        </is>
      </c>
      <c r="E36" s="37" t="inlineStr">
        <is>
          <t>Confirms the 'Settings' navigation destination for a Teacher lands on real content OR an explicit 'coming soon' — never a blank page, error, or dead end. A blank page once burned a live school demo; this matrix walks every nav item for every role so none is missed.</t>
        </is>
      </c>
      <c r="F36" s="37" t="inlineStr">
        <is>
          <t>A Teacher test account with representative data.</t>
        </is>
      </c>
      <c r="G36" s="37" t="inlineStr">
        <is>
          <t>1) Log in as Teacher. 2) Click 'Settings' in the navigation. 3) Observe what renders.</t>
        </is>
      </c>
      <c r="H36" s="37" t="inlineStr">
        <is>
          <t>'Settings' shows real content or a clean 'coming soon' fence; no blank page, no error, no dead-end; back-nav works.</t>
        </is>
      </c>
      <c r="I36" s="37" t="inlineStr">
        <is>
          <t>Screenshot of the Teacher 'Settings' destination</t>
        </is>
      </c>
      <c r="J36" s="43" t="inlineStr">
        <is>
          <t>NOT RUN</t>
        </is>
      </c>
      <c r="K36" s="37" t="inlineStr">
        <is>
          <t>Claude (pending env)</t>
        </is>
      </c>
      <c r="L36" s="37" t="n"/>
      <c r="M36" s="37" t="n"/>
      <c r="N36" s="37" t="inlineStr">
        <is>
          <t>[T4 | Phase 4 | Claude (pending env)] Playwright/authenticated-API against running env. awaiting running staging URL + test accounts</t>
        </is>
      </c>
    </row>
    <row r="37" ht="53.7" customHeight="1" s="29">
      <c r="A37" s="36" t="inlineStr">
        <is>
          <t>MX-NAV-0035</t>
        </is>
      </c>
      <c r="B37" s="54" t="inlineStr">
        <is>
          <t>P1</t>
        </is>
      </c>
      <c r="C37" s="36" t="inlineStr">
        <is>
          <t>Frontend/Nav</t>
        </is>
      </c>
      <c r="D37" s="36" t="inlineStr">
        <is>
          <t>School Admin · Console home</t>
        </is>
      </c>
      <c r="E37" s="36" t="inlineStr">
        <is>
          <t>Confirms the 'Console home' navigation destination for a School Admin lands on real content OR an explicit 'coming soon' — never a blank page, error, or dead end. A blank page once burned a live school demo; this matrix walks every nav item for every role so none is missed.</t>
        </is>
      </c>
      <c r="F37" s="36" t="inlineStr">
        <is>
          <t>A School Admin test account with representative data.</t>
        </is>
      </c>
      <c r="G37" s="36" t="inlineStr">
        <is>
          <t>1) Log in as School Admin. 2) Click 'Console home' in the navigation. 3) Observe what renders.</t>
        </is>
      </c>
      <c r="H37" s="36" t="inlineStr">
        <is>
          <t>'Console home' shows real content or a clean 'coming soon' fence; no blank page, no error, no dead-end; back-nav works.</t>
        </is>
      </c>
      <c r="I37" s="36" t="inlineStr">
        <is>
          <t>Screenshot of the School Admin 'Console home' destination</t>
        </is>
      </c>
      <c r="J37" s="41" t="inlineStr">
        <is>
          <t>NOT RUN</t>
        </is>
      </c>
      <c r="K37" s="36" t="inlineStr">
        <is>
          <t>Claude (pending env)</t>
        </is>
      </c>
      <c r="L37" s="36" t="n"/>
      <c r="M37" s="36" t="n"/>
      <c r="N37" s="36" t="inlineStr">
        <is>
          <t>[T4 | Phase 4 | Claude (pending env)] Playwright/authenticated-API against running env. awaiting running staging URL + test accounts</t>
        </is>
      </c>
    </row>
    <row r="38" ht="53.7" customHeight="1" s="29">
      <c r="A38" s="37" t="inlineStr">
        <is>
          <t>MX-NAV-0036</t>
        </is>
      </c>
      <c r="B38" s="54" t="inlineStr">
        <is>
          <t>P1</t>
        </is>
      </c>
      <c r="C38" s="37" t="inlineStr">
        <is>
          <t>Frontend/Nav</t>
        </is>
      </c>
      <c r="D38" s="37" t="inlineStr">
        <is>
          <t>School Admin · Onboarding/Claim</t>
        </is>
      </c>
      <c r="E38" s="37" t="inlineStr">
        <is>
          <t>Confirms the 'Onboarding/Claim' navigation destination for a School Admin lands on real content OR an explicit 'coming soon' — never a blank page, error, or dead end. A blank page once burned a live school demo; this matrix walks every nav item for every role so none is missed.</t>
        </is>
      </c>
      <c r="F38" s="37" t="inlineStr">
        <is>
          <t>A School Admin test account with representative data.</t>
        </is>
      </c>
      <c r="G38" s="37" t="inlineStr">
        <is>
          <t>1) Log in as School Admin. 2) Click 'Onboarding/Claim' in the navigation. 3) Observe what renders.</t>
        </is>
      </c>
      <c r="H38" s="37" t="inlineStr">
        <is>
          <t>'Onboarding/Claim' shows real content or a clean 'coming soon' fence; no blank page, no error, no dead-end; back-nav works.</t>
        </is>
      </c>
      <c r="I38" s="37" t="inlineStr">
        <is>
          <t>Screenshot of the School Admin 'Onboarding/Claim' destination</t>
        </is>
      </c>
      <c r="J38" s="43" t="inlineStr">
        <is>
          <t>NOT RUN</t>
        </is>
      </c>
      <c r="K38" s="37" t="inlineStr">
        <is>
          <t>Claude (pending env)</t>
        </is>
      </c>
      <c r="L38" s="37" t="n"/>
      <c r="M38" s="37" t="n"/>
      <c r="N38" s="37" t="inlineStr">
        <is>
          <t>[T4 | Phase 4 | Claude (pending env)] Playwright/authenticated-API against running env. awaiting running staging URL + test accounts</t>
        </is>
      </c>
    </row>
    <row r="39" ht="53.7" customHeight="1" s="29">
      <c r="A39" s="36" t="inlineStr">
        <is>
          <t>MX-NAV-0037</t>
        </is>
      </c>
      <c r="B39" s="54" t="inlineStr">
        <is>
          <t>P1</t>
        </is>
      </c>
      <c r="C39" s="36" t="inlineStr">
        <is>
          <t>Frontend/Nav</t>
        </is>
      </c>
      <c r="D39" s="36" t="inlineStr">
        <is>
          <t>School Admin · Staff invites</t>
        </is>
      </c>
      <c r="E39" s="36" t="inlineStr">
        <is>
          <t>Confirms the 'Staff invites' navigation destination for a School Admin lands on real content OR an explicit 'coming soon' — never a blank page, error, or dead end. A blank page once burned a live school demo; this matrix walks every nav item for every role so none is missed.</t>
        </is>
      </c>
      <c r="F39" s="36" t="inlineStr">
        <is>
          <t>A School Admin test account with representative data.</t>
        </is>
      </c>
      <c r="G39" s="36" t="inlineStr">
        <is>
          <t>1) Log in as School Admin. 2) Click 'Staff invites' in the navigation. 3) Observe what renders.</t>
        </is>
      </c>
      <c r="H39" s="36" t="inlineStr">
        <is>
          <t>'Staff invites' shows real content or a clean 'coming soon' fence; no blank page, no error, no dead-end; back-nav works.</t>
        </is>
      </c>
      <c r="I39" s="36" t="inlineStr">
        <is>
          <t>Screenshot of the School Admin 'Staff invites' destination</t>
        </is>
      </c>
      <c r="J39" s="41" t="inlineStr">
        <is>
          <t>NOT RUN</t>
        </is>
      </c>
      <c r="K39" s="36" t="inlineStr">
        <is>
          <t>Claude (pending env)</t>
        </is>
      </c>
      <c r="L39" s="36" t="n"/>
      <c r="M39" s="36" t="n"/>
      <c r="N39" s="36" t="inlineStr">
        <is>
          <t>[T4 | Phase 4 | Claude (pending env)] Playwright/authenticated-API against running env. awaiting running staging URL + test accounts</t>
        </is>
      </c>
    </row>
    <row r="40" ht="53.7" customHeight="1" s="29">
      <c r="A40" s="37" t="inlineStr">
        <is>
          <t>MX-NAV-0038</t>
        </is>
      </c>
      <c r="B40" s="54" t="inlineStr">
        <is>
          <t>P1</t>
        </is>
      </c>
      <c r="C40" s="37" t="inlineStr">
        <is>
          <t>Frontend/Nav</t>
        </is>
      </c>
      <c r="D40" s="37" t="inlineStr">
        <is>
          <t>School Admin · Student invites</t>
        </is>
      </c>
      <c r="E40" s="37" t="inlineStr">
        <is>
          <t>Confirms the 'Student invites' navigation destination for a School Admin lands on real content OR an explicit 'coming soon' — never a blank page, error, or dead end. A blank page once burned a live school demo; this matrix walks every nav item for every role so none is missed.</t>
        </is>
      </c>
      <c r="F40" s="37" t="inlineStr">
        <is>
          <t>A School Admin test account with representative data.</t>
        </is>
      </c>
      <c r="G40" s="37" t="inlineStr">
        <is>
          <t>1) Log in as School Admin. 2) Click 'Student invites' in the navigation. 3) Observe what renders.</t>
        </is>
      </c>
      <c r="H40" s="37" t="inlineStr">
        <is>
          <t>'Student invites' shows real content or a clean 'coming soon' fence; no blank page, no error, no dead-end; back-nav works.</t>
        </is>
      </c>
      <c r="I40" s="37" t="inlineStr">
        <is>
          <t>Screenshot of the School Admin 'Student invites' destination</t>
        </is>
      </c>
      <c r="J40" s="43" t="inlineStr">
        <is>
          <t>NOT RUN</t>
        </is>
      </c>
      <c r="K40" s="37" t="inlineStr">
        <is>
          <t>Claude (pending env)</t>
        </is>
      </c>
      <c r="L40" s="37" t="n"/>
      <c r="M40" s="37" t="n"/>
      <c r="N40" s="37" t="inlineStr">
        <is>
          <t>[T4 | Phase 4 | Claude (pending env)] Playwright/authenticated-API against running env. awaiting running staging URL + test accounts</t>
        </is>
      </c>
    </row>
    <row r="41" ht="53.7" customHeight="1" s="29">
      <c r="A41" s="36" t="inlineStr">
        <is>
          <t>MX-NAV-0039</t>
        </is>
      </c>
      <c r="B41" s="54" t="inlineStr">
        <is>
          <t>P1</t>
        </is>
      </c>
      <c r="C41" s="36" t="inlineStr">
        <is>
          <t>Frontend/Nav</t>
        </is>
      </c>
      <c r="D41" s="36" t="inlineStr">
        <is>
          <t>School Admin · Seat management</t>
        </is>
      </c>
      <c r="E41" s="36" t="inlineStr">
        <is>
          <t>Confirms the 'Seat management' navigation destination for a School Admin lands on real content OR an explicit 'coming soon' — never a blank page, error, or dead end. A blank page once burned a live school demo; this matrix walks every nav item for every role so none is missed.</t>
        </is>
      </c>
      <c r="F41" s="36" t="inlineStr">
        <is>
          <t>A School Admin test account with representative data.</t>
        </is>
      </c>
      <c r="G41" s="36" t="inlineStr">
        <is>
          <t>1) Log in as School Admin. 2) Click 'Seat management' in the navigation. 3) Observe what renders.</t>
        </is>
      </c>
      <c r="H41" s="36" t="inlineStr">
        <is>
          <t>'Seat management' shows real content or a clean 'coming soon' fence; no blank page, no error, no dead-end; back-nav works.</t>
        </is>
      </c>
      <c r="I41" s="36" t="inlineStr">
        <is>
          <t>Screenshot of the School Admin 'Seat management' destination</t>
        </is>
      </c>
      <c r="J41" s="41" t="inlineStr">
        <is>
          <t>NOT RUN</t>
        </is>
      </c>
      <c r="K41" s="36" t="inlineStr">
        <is>
          <t>Claude (pending env)</t>
        </is>
      </c>
      <c r="L41" s="36" t="n"/>
      <c r="M41" s="36" t="n"/>
      <c r="N41" s="36" t="inlineStr">
        <is>
          <t>[T4 | Phase 4 | Claude (pending env)] Playwright/authenticated-API against running env. awaiting running staging URL + test accounts</t>
        </is>
      </c>
    </row>
    <row r="42" ht="53.7" customHeight="1" s="29">
      <c r="A42" s="37" t="inlineStr">
        <is>
          <t>MX-NAV-0040</t>
        </is>
      </c>
      <c r="B42" s="54" t="inlineStr">
        <is>
          <t>P1</t>
        </is>
      </c>
      <c r="C42" s="37" t="inlineStr">
        <is>
          <t>Frontend/Nav</t>
        </is>
      </c>
      <c r="D42" s="37" t="inlineStr">
        <is>
          <t>School Admin · Billing/Invoices</t>
        </is>
      </c>
      <c r="E42" s="37" t="inlineStr">
        <is>
          <t>Confirms the 'Billing/Invoices' navigation destination for a School Admin lands on real content OR an explicit 'coming soon' — never a blank page, error, or dead end. A blank page once burned a live school demo; this matrix walks every nav item for every role so none is missed.</t>
        </is>
      </c>
      <c r="F42" s="37" t="inlineStr">
        <is>
          <t>A School Admin test account with representative data.</t>
        </is>
      </c>
      <c r="G42" s="37" t="inlineStr">
        <is>
          <t>1) Log in as School Admin. 2) Click 'Billing/Invoices' in the navigation. 3) Observe what renders.</t>
        </is>
      </c>
      <c r="H42" s="37" t="inlineStr">
        <is>
          <t>'Billing/Invoices' shows real content or a clean 'coming soon' fence; no blank page, no error, no dead-end; back-nav works.</t>
        </is>
      </c>
      <c r="I42" s="37" t="inlineStr">
        <is>
          <t>Screenshot of the School Admin 'Billing/Invoices' destination</t>
        </is>
      </c>
      <c r="J42" s="43" t="inlineStr">
        <is>
          <t>NOT RUN</t>
        </is>
      </c>
      <c r="K42" s="37" t="inlineStr">
        <is>
          <t>Claude (pending env)</t>
        </is>
      </c>
      <c r="L42" s="37" t="n"/>
      <c r="M42" s="37" t="n"/>
      <c r="N42" s="37" t="inlineStr">
        <is>
          <t>[T4 | Phase 4 | Claude (pending env)] Playwright/authenticated-API against running env. awaiting running staging URL + test accounts</t>
        </is>
      </c>
    </row>
    <row r="43" ht="53.7" customHeight="1" s="29">
      <c r="A43" s="36" t="inlineStr">
        <is>
          <t>MX-NAV-0041</t>
        </is>
      </c>
      <c r="B43" s="54" t="inlineStr">
        <is>
          <t>P1</t>
        </is>
      </c>
      <c r="C43" s="36" t="inlineStr">
        <is>
          <t>Frontend/Nav</t>
        </is>
      </c>
      <c r="D43" s="36" t="inlineStr">
        <is>
          <t>School Admin · Offline payments</t>
        </is>
      </c>
      <c r="E43" s="36" t="inlineStr">
        <is>
          <t>Confirms the 'Offline payments' navigation destination for a School Admin lands on real content OR an explicit 'coming soon' — never a blank page, error, or dead end. A blank page once burned a live school demo; this matrix walks every nav item for every role so none is missed.</t>
        </is>
      </c>
      <c r="F43" s="36" t="inlineStr">
        <is>
          <t>A School Admin test account with representative data.</t>
        </is>
      </c>
      <c r="G43" s="36" t="inlineStr">
        <is>
          <t>1) Log in as School Admin. 2) Click 'Offline payments' in the navigation. 3) Observe what renders.</t>
        </is>
      </c>
      <c r="H43" s="36" t="inlineStr">
        <is>
          <t>'Offline payments' shows real content or a clean 'coming soon' fence; no blank page, no error, no dead-end; back-nav works.</t>
        </is>
      </c>
      <c r="I43" s="36" t="inlineStr">
        <is>
          <t>Screenshot of the School Admin 'Offline payments' destination</t>
        </is>
      </c>
      <c r="J43" s="41" t="inlineStr">
        <is>
          <t>NOT RUN</t>
        </is>
      </c>
      <c r="K43" s="36" t="inlineStr">
        <is>
          <t>Claude (pending env)</t>
        </is>
      </c>
      <c r="L43" s="36" t="n"/>
      <c r="M43" s="36" t="n"/>
      <c r="N43" s="36" t="inlineStr">
        <is>
          <t>[T4 | Phase 4 | Claude (pending env)] Playwright/authenticated-API against running env. awaiting running staging URL + test accounts</t>
        </is>
      </c>
    </row>
    <row r="44" ht="53.7" customHeight="1" s="29">
      <c r="A44" s="37" t="inlineStr">
        <is>
          <t>MX-NAV-0042</t>
        </is>
      </c>
      <c r="B44" s="54" t="inlineStr">
        <is>
          <t>P1</t>
        </is>
      </c>
      <c r="C44" s="37" t="inlineStr">
        <is>
          <t>Frontend/Nav</t>
        </is>
      </c>
      <c r="D44" s="37" t="inlineStr">
        <is>
          <t>School Admin · Announcements</t>
        </is>
      </c>
      <c r="E44" s="37" t="inlineStr">
        <is>
          <t>Confirms the 'Announcements' navigation destination for a School Admin lands on real content OR an explicit 'coming soon' — never a blank page, error, or dead end. A blank page once burned a live school demo; this matrix walks every nav item for every role so none is missed.</t>
        </is>
      </c>
      <c r="F44" s="37" t="inlineStr">
        <is>
          <t>A School Admin test account with representative data.</t>
        </is>
      </c>
      <c r="G44" s="37" t="inlineStr">
        <is>
          <t>1) Log in as School Admin. 2) Click 'Announcements' in the navigation. 3) Observe what renders.</t>
        </is>
      </c>
      <c r="H44" s="37" t="inlineStr">
        <is>
          <t>'Announcements' shows real content or a clean 'coming soon' fence; no blank page, no error, no dead-end; back-nav works.</t>
        </is>
      </c>
      <c r="I44" s="37" t="inlineStr">
        <is>
          <t>Screenshot of the School Admin 'Announcements' destination</t>
        </is>
      </c>
      <c r="J44" s="43" t="inlineStr">
        <is>
          <t>NOT RUN</t>
        </is>
      </c>
      <c r="K44" s="37" t="inlineStr">
        <is>
          <t>Claude (pending env)</t>
        </is>
      </c>
      <c r="L44" s="37" t="n"/>
      <c r="M44" s="37" t="n"/>
      <c r="N44" s="37" t="inlineStr">
        <is>
          <t>[T4 | Phase 4 | Claude (pending env)] Playwright/authenticated-API against running env. awaiting running staging URL + test accounts</t>
        </is>
      </c>
    </row>
    <row r="45" ht="53.7" customHeight="1" s="29">
      <c r="A45" s="36" t="inlineStr">
        <is>
          <t>MX-NAV-0043</t>
        </is>
      </c>
      <c r="B45" s="54" t="inlineStr">
        <is>
          <t>P1</t>
        </is>
      </c>
      <c r="C45" s="36" t="inlineStr">
        <is>
          <t>Frontend/Nav</t>
        </is>
      </c>
      <c r="D45" s="36" t="inlineStr">
        <is>
          <t>School Admin · School exams</t>
        </is>
      </c>
      <c r="E45" s="36" t="inlineStr">
        <is>
          <t>Confirms the 'School exams' navigation destination for a School Admin lands on real content OR an explicit 'coming soon' — never a blank page, error, or dead end. A blank page once burned a live school demo; this matrix walks every nav item for every role so none is missed.</t>
        </is>
      </c>
      <c r="F45" s="36" t="inlineStr">
        <is>
          <t>A School Admin test account with representative data.</t>
        </is>
      </c>
      <c r="G45" s="36" t="inlineStr">
        <is>
          <t>1) Log in as School Admin. 2) Click 'School exams' in the navigation. 3) Observe what renders.</t>
        </is>
      </c>
      <c r="H45" s="36" t="inlineStr">
        <is>
          <t>'School exams' shows real content or a clean 'coming soon' fence; no blank page, no error, no dead-end; back-nav works.</t>
        </is>
      </c>
      <c r="I45" s="36" t="inlineStr">
        <is>
          <t>Screenshot of the School Admin 'School exams' destination</t>
        </is>
      </c>
      <c r="J45" s="41" t="inlineStr">
        <is>
          <t>NOT RUN</t>
        </is>
      </c>
      <c r="K45" s="36" t="inlineStr">
        <is>
          <t>Claude (pending env)</t>
        </is>
      </c>
      <c r="L45" s="36" t="n"/>
      <c r="M45" s="36" t="n"/>
      <c r="N45" s="36" t="inlineStr">
        <is>
          <t>[T4 | Phase 4 | Claude (pending env)] Playwright/authenticated-API against running env. awaiting running staging URL + test accounts</t>
        </is>
      </c>
    </row>
    <row r="46" ht="53.7" customHeight="1" s="29">
      <c r="A46" s="37" t="inlineStr">
        <is>
          <t>MX-NAV-0044</t>
        </is>
      </c>
      <c r="B46" s="54" t="inlineStr">
        <is>
          <t>P1</t>
        </is>
      </c>
      <c r="C46" s="37" t="inlineStr">
        <is>
          <t>Frontend/Nav</t>
        </is>
      </c>
      <c r="D46" s="37" t="inlineStr">
        <is>
          <t>School Admin · Analytics</t>
        </is>
      </c>
      <c r="E46" s="37" t="inlineStr">
        <is>
          <t>Confirms the 'Analytics' navigation destination for a School Admin lands on real content OR an explicit 'coming soon' — never a blank page, error, or dead end. A blank page once burned a live school demo; this matrix walks every nav item for every role so none is missed.</t>
        </is>
      </c>
      <c r="F46" s="37" t="inlineStr">
        <is>
          <t>A School Admin test account with representative data.</t>
        </is>
      </c>
      <c r="G46" s="37" t="inlineStr">
        <is>
          <t>1) Log in as School Admin. 2) Click 'Analytics' in the navigation. 3) Observe what renders.</t>
        </is>
      </c>
      <c r="H46" s="37" t="inlineStr">
        <is>
          <t>'Analytics' shows real content or a clean 'coming soon' fence; no blank page, no error, no dead-end; back-nav works.</t>
        </is>
      </c>
      <c r="I46" s="37" t="inlineStr">
        <is>
          <t>Screenshot of the School Admin 'Analytics' destination</t>
        </is>
      </c>
      <c r="J46" s="43" t="inlineStr">
        <is>
          <t>NOT RUN</t>
        </is>
      </c>
      <c r="K46" s="37" t="inlineStr">
        <is>
          <t>Claude (pending env)</t>
        </is>
      </c>
      <c r="L46" s="37" t="n"/>
      <c r="M46" s="37" t="n"/>
      <c r="N46" s="37" t="inlineStr">
        <is>
          <t>[T4 | Phase 4 | Claude (pending env)] Playwright/authenticated-API against running env. awaiting running staging URL + test accounts</t>
        </is>
      </c>
    </row>
    <row r="47" ht="53.7" customHeight="1" s="29">
      <c r="A47" s="36" t="inlineStr">
        <is>
          <t>MX-NAV-0045</t>
        </is>
      </c>
      <c r="B47" s="54" t="inlineStr">
        <is>
          <t>P1</t>
        </is>
      </c>
      <c r="C47" s="36" t="inlineStr">
        <is>
          <t>Frontend/Nav</t>
        </is>
      </c>
      <c r="D47" s="36" t="inlineStr">
        <is>
          <t>School Admin · Settings</t>
        </is>
      </c>
      <c r="E47" s="36" t="inlineStr">
        <is>
          <t>Confirms the 'Settings' navigation destination for a School Admin lands on real content OR an explicit 'coming soon' — never a blank page, error, or dead end. A blank page once burned a live school demo; this matrix walks every nav item for every role so none is missed.</t>
        </is>
      </c>
      <c r="F47" s="36" t="inlineStr">
        <is>
          <t>A School Admin test account with representative data.</t>
        </is>
      </c>
      <c r="G47" s="36" t="inlineStr">
        <is>
          <t>1) Log in as School Admin. 2) Click 'Settings' in the navigation. 3) Observe what renders.</t>
        </is>
      </c>
      <c r="H47" s="36" t="inlineStr">
        <is>
          <t>'Settings' shows real content or a clean 'coming soon' fence; no blank page, no error, no dead-end; back-nav works.</t>
        </is>
      </c>
      <c r="I47" s="36" t="inlineStr">
        <is>
          <t>Screenshot of the School Admin 'Settings' destination</t>
        </is>
      </c>
      <c r="J47" s="41" t="inlineStr">
        <is>
          <t>NOT RUN</t>
        </is>
      </c>
      <c r="K47" s="36" t="inlineStr">
        <is>
          <t>Claude (pending env)</t>
        </is>
      </c>
      <c r="L47" s="36" t="n"/>
      <c r="M47" s="36" t="n"/>
      <c r="N47" s="36" t="inlineStr">
        <is>
          <t>[T4 | Phase 4 | Claude (pending env)] Playwright/authenticated-API against running env. awaiting running staging URL + test accounts</t>
        </is>
      </c>
    </row>
    <row r="48" ht="53.7" customHeight="1" s="29">
      <c r="A48" s="37" t="inlineStr">
        <is>
          <t>MX-NAV-0046</t>
        </is>
      </c>
      <c r="B48" s="54" t="inlineStr">
        <is>
          <t>P1</t>
        </is>
      </c>
      <c r="C48" s="37" t="inlineStr">
        <is>
          <t>Frontend/Nav</t>
        </is>
      </c>
      <c r="D48" s="37" t="inlineStr">
        <is>
          <t>Super Admin · Ops overview</t>
        </is>
      </c>
      <c r="E48" s="37" t="inlineStr">
        <is>
          <t>Confirms the 'Ops overview' navigation destination for a Super Admin lands on real content OR an explicit 'coming soon' — never a blank page, error, or dead end. A blank page once burned a live school demo; this matrix walks every nav item for every role so none is missed.</t>
        </is>
      </c>
      <c r="F48" s="37" t="inlineStr">
        <is>
          <t>A Super Admin test account with representative data.</t>
        </is>
      </c>
      <c r="G48" s="37" t="inlineStr">
        <is>
          <t>1) Log in as Super Admin. 2) Click 'Ops overview' in the navigation. 3) Observe what renders.</t>
        </is>
      </c>
      <c r="H48" s="37" t="inlineStr">
        <is>
          <t>'Ops overview' shows real content or a clean 'coming soon' fence; no blank page, no error, no dead-end; back-nav works.</t>
        </is>
      </c>
      <c r="I48" s="37" t="inlineStr">
        <is>
          <t>Screenshot of the Super Admin 'Ops overview' destination</t>
        </is>
      </c>
      <c r="J48" s="43" t="inlineStr">
        <is>
          <t>NOT RUN</t>
        </is>
      </c>
      <c r="K48" s="37" t="inlineStr">
        <is>
          <t>Claude (pending env)</t>
        </is>
      </c>
      <c r="L48" s="37" t="n"/>
      <c r="M48" s="37" t="n"/>
      <c r="N48" s="37" t="inlineStr">
        <is>
          <t>[T4 | Phase 4 | Claude (pending env)] Playwright/authenticated-API against running env. awaiting running staging URL + test accounts</t>
        </is>
      </c>
    </row>
    <row r="49" ht="53.7" customHeight="1" s="29">
      <c r="A49" s="36" t="inlineStr">
        <is>
          <t>MX-NAV-0047</t>
        </is>
      </c>
      <c r="B49" s="54" t="inlineStr">
        <is>
          <t>P1</t>
        </is>
      </c>
      <c r="C49" s="36" t="inlineStr">
        <is>
          <t>Frontend/Nav</t>
        </is>
      </c>
      <c r="D49" s="36" t="inlineStr">
        <is>
          <t>Super Admin · Observability/metrics</t>
        </is>
      </c>
      <c r="E49" s="36" t="inlineStr">
        <is>
          <t>Confirms the 'Observability/metrics' navigation destination for a Super Admin lands on real content OR an explicit 'coming soon' — never a blank page, error, or dead end. A blank page once burned a live school demo; this matrix walks every nav item for every role so none is missed.</t>
        </is>
      </c>
      <c r="F49" s="36" t="inlineStr">
        <is>
          <t>A Super Admin test account with representative data.</t>
        </is>
      </c>
      <c r="G49" s="36" t="inlineStr">
        <is>
          <t>1) Log in as Super Admin. 2) Click 'Observability/metrics' in the navigation. 3) Observe what renders.</t>
        </is>
      </c>
      <c r="H49" s="36" t="inlineStr">
        <is>
          <t>'Observability/metrics' shows real content or a clean 'coming soon' fence; no blank page, no error, no dead-end; back-nav works.</t>
        </is>
      </c>
      <c r="I49" s="36" t="inlineStr">
        <is>
          <t>Screenshot of the Super Admin 'Observability/metrics' destination</t>
        </is>
      </c>
      <c r="J49" s="41" t="inlineStr">
        <is>
          <t>NOT RUN</t>
        </is>
      </c>
      <c r="K49" s="36" t="inlineStr">
        <is>
          <t>Claude (pending env)</t>
        </is>
      </c>
      <c r="L49" s="36" t="n"/>
      <c r="M49" s="36" t="n"/>
      <c r="N49" s="36" t="inlineStr">
        <is>
          <t>[T4 | Phase 4 | Claude (pending env)] Playwright/authenticated-API against running env. awaiting running staging URL + test accounts</t>
        </is>
      </c>
    </row>
    <row r="50" ht="53.7" customHeight="1" s="29">
      <c r="A50" s="37" t="inlineStr">
        <is>
          <t>MX-NAV-0048</t>
        </is>
      </c>
      <c r="B50" s="54" t="inlineStr">
        <is>
          <t>P1</t>
        </is>
      </c>
      <c r="C50" s="37" t="inlineStr">
        <is>
          <t>Frontend/Nav</t>
        </is>
      </c>
      <c r="D50" s="37" t="inlineStr">
        <is>
          <t>Super Admin · Impersonation</t>
        </is>
      </c>
      <c r="E50" s="37" t="inlineStr">
        <is>
          <t>Confirms the 'Impersonation' navigation destination for a Super Admin lands on real content OR an explicit 'coming soon' — never a blank page, error, or dead end. A blank page once burned a live school demo; this matrix walks every nav item for every role so none is missed.</t>
        </is>
      </c>
      <c r="F50" s="37" t="inlineStr">
        <is>
          <t>A Super Admin test account with representative data.</t>
        </is>
      </c>
      <c r="G50" s="37" t="inlineStr">
        <is>
          <t>1) Log in as Super Admin. 2) Click 'Impersonation' in the navigation. 3) Observe what renders.</t>
        </is>
      </c>
      <c r="H50" s="37" t="inlineStr">
        <is>
          <t>'Impersonation' shows real content or a clean 'coming soon' fence; no blank page, no error, no dead-end; back-nav works.</t>
        </is>
      </c>
      <c r="I50" s="37" t="inlineStr">
        <is>
          <t>Screenshot of the Super Admin 'Impersonation' destination</t>
        </is>
      </c>
      <c r="J50" s="43" t="inlineStr">
        <is>
          <t>NOT RUN</t>
        </is>
      </c>
      <c r="K50" s="37" t="inlineStr">
        <is>
          <t>Claude (pending env)</t>
        </is>
      </c>
      <c r="L50" s="37" t="n"/>
      <c r="M50" s="37" t="n"/>
      <c r="N50" s="37" t="inlineStr">
        <is>
          <t>[T4 | Phase 4 | Claude (pending env)] Playwright/authenticated-API against running env. awaiting running staging URL + test accounts</t>
        </is>
      </c>
    </row>
    <row r="51" ht="53.7" customHeight="1" s="29">
      <c r="A51" s="36" t="inlineStr">
        <is>
          <t>MX-NAV-0049</t>
        </is>
      </c>
      <c r="B51" s="54" t="inlineStr">
        <is>
          <t>P1</t>
        </is>
      </c>
      <c r="C51" s="36" t="inlineStr">
        <is>
          <t>Frontend/Nav</t>
        </is>
      </c>
      <c r="D51" s="36" t="inlineStr">
        <is>
          <t>Super Admin · AI cost dashboard</t>
        </is>
      </c>
      <c r="E51" s="36" t="inlineStr">
        <is>
          <t>Confirms the 'AI cost dashboard' navigation destination for a Super Admin lands on real content OR an explicit 'coming soon' — never a blank page, error, or dead end. A blank page once burned a live school demo; this matrix walks every nav item for every role so none is missed.</t>
        </is>
      </c>
      <c r="F51" s="36" t="inlineStr">
        <is>
          <t>A Super Admin test account with representative data.</t>
        </is>
      </c>
      <c r="G51" s="36" t="inlineStr">
        <is>
          <t>1) Log in as Super Admin. 2) Click 'AI cost dashboard' in the navigation. 3) Observe what renders.</t>
        </is>
      </c>
      <c r="H51" s="36" t="inlineStr">
        <is>
          <t>'AI cost dashboard' shows real content or a clean 'coming soon' fence; no blank page, no error, no dead-end; back-nav works.</t>
        </is>
      </c>
      <c r="I51" s="36" t="inlineStr">
        <is>
          <t>Screenshot of the Super Admin 'AI cost dashboard' destination</t>
        </is>
      </c>
      <c r="J51" s="41" t="inlineStr">
        <is>
          <t>NOT RUN</t>
        </is>
      </c>
      <c r="K51" s="36" t="inlineStr">
        <is>
          <t>Claude (pending env)</t>
        </is>
      </c>
      <c r="L51" s="36" t="n"/>
      <c r="M51" s="36" t="n"/>
      <c r="N51" s="36" t="inlineStr">
        <is>
          <t>[T4 | Phase 4 | Claude (pending env)] Playwright/authenticated-API against running env. awaiting running staging URL + test accounts</t>
        </is>
      </c>
    </row>
    <row r="52" ht="53.7" customHeight="1" s="29">
      <c r="A52" s="37" t="inlineStr">
        <is>
          <t>MX-NAV-0050</t>
        </is>
      </c>
      <c r="B52" s="54" t="inlineStr">
        <is>
          <t>P1</t>
        </is>
      </c>
      <c r="C52" s="37" t="inlineStr">
        <is>
          <t>Frontend/Nav</t>
        </is>
      </c>
      <c r="D52" s="37" t="inlineStr">
        <is>
          <t>Super Admin · Payment ops</t>
        </is>
      </c>
      <c r="E52" s="37" t="inlineStr">
        <is>
          <t>Confirms the 'Payment ops' navigation destination for a Super Admin lands on real content OR an explicit 'coming soon' — never a blank page, error, or dead end. A blank page once burned a live school demo; this matrix walks every nav item for every role so none is missed.</t>
        </is>
      </c>
      <c r="F52" s="37" t="inlineStr">
        <is>
          <t>A Super Admin test account with representative data.</t>
        </is>
      </c>
      <c r="G52" s="37" t="inlineStr">
        <is>
          <t>1) Log in as Super Admin. 2) Click 'Payment ops' in the navigation. 3) Observe what renders.</t>
        </is>
      </c>
      <c r="H52" s="37" t="inlineStr">
        <is>
          <t>'Payment ops' shows real content or a clean 'coming soon' fence; no blank page, no error, no dead-end; back-nav works.</t>
        </is>
      </c>
      <c r="I52" s="37" t="inlineStr">
        <is>
          <t>Screenshot of the Super Admin 'Payment ops' destination</t>
        </is>
      </c>
      <c r="J52" s="43" t="inlineStr">
        <is>
          <t>NOT RUN</t>
        </is>
      </c>
      <c r="K52" s="37" t="inlineStr">
        <is>
          <t>Claude (pending env)</t>
        </is>
      </c>
      <c r="L52" s="37" t="n"/>
      <c r="M52" s="37" t="n"/>
      <c r="N52" s="37" t="inlineStr">
        <is>
          <t>[T4 | Phase 4 | Claude (pending env)] Playwright/authenticated-API against running env. awaiting running staging URL + test accounts</t>
        </is>
      </c>
    </row>
    <row r="53" ht="53.7" customHeight="1" s="29">
      <c r="A53" s="36" t="inlineStr">
        <is>
          <t>MX-NAV-0051</t>
        </is>
      </c>
      <c r="B53" s="54" t="inlineStr">
        <is>
          <t>P1</t>
        </is>
      </c>
      <c r="C53" s="36" t="inlineStr">
        <is>
          <t>Frontend/Nav</t>
        </is>
      </c>
      <c r="D53" s="36" t="inlineStr">
        <is>
          <t>Super Admin · Grounding health</t>
        </is>
      </c>
      <c r="E53" s="36" t="inlineStr">
        <is>
          <t>Confirms the 'Grounding health' navigation destination for a Super Admin lands on real content OR an explicit 'coming soon' — never a blank page, error, or dead end. A blank page once burned a live school demo; this matrix walks every nav item for every role so none is missed.</t>
        </is>
      </c>
      <c r="F53" s="36" t="inlineStr">
        <is>
          <t>A Super Admin test account with representative data.</t>
        </is>
      </c>
      <c r="G53" s="36" t="inlineStr">
        <is>
          <t>1) Log in as Super Admin. 2) Click 'Grounding health' in the navigation. 3) Observe what renders.</t>
        </is>
      </c>
      <c r="H53" s="36" t="inlineStr">
        <is>
          <t>'Grounding health' shows real content or a clean 'coming soon' fence; no blank page, no error, no dead-end; back-nav works.</t>
        </is>
      </c>
      <c r="I53" s="36" t="inlineStr">
        <is>
          <t>Screenshot of the Super Admin 'Grounding health' destination</t>
        </is>
      </c>
      <c r="J53" s="41" t="inlineStr">
        <is>
          <t>NOT RUN</t>
        </is>
      </c>
      <c r="K53" s="36" t="inlineStr">
        <is>
          <t>Claude (pending env)</t>
        </is>
      </c>
      <c r="L53" s="36" t="n"/>
      <c r="M53" s="36" t="n"/>
      <c r="N53" s="36" t="inlineStr">
        <is>
          <t>[T4 | Phase 4 | Claude (pending env)] Playwright/authenticated-API against running env. awaiting running staging URL + test accounts</t>
        </is>
      </c>
    </row>
    <row r="54" ht="53.7" customHeight="1" s="29">
      <c r="A54" s="37" t="inlineStr">
        <is>
          <t>MX-NAV-0052</t>
        </is>
      </c>
      <c r="B54" s="54" t="inlineStr">
        <is>
          <t>P1</t>
        </is>
      </c>
      <c r="C54" s="37" t="inlineStr">
        <is>
          <t>Frontend/Nav</t>
        </is>
      </c>
      <c r="D54" s="37" t="inlineStr">
        <is>
          <t>Super Admin · RBAC admin</t>
        </is>
      </c>
      <c r="E54" s="37" t="inlineStr">
        <is>
          <t>Confirms the 'RBAC admin' navigation destination for a Super Admin lands on real content OR an explicit 'coming soon' — never a blank page, error, or dead end. A blank page once burned a live school demo; this matrix walks every nav item for every role so none is missed.</t>
        </is>
      </c>
      <c r="F54" s="37" t="inlineStr">
        <is>
          <t>A Super Admin test account with representative data.</t>
        </is>
      </c>
      <c r="G54" s="37" t="inlineStr">
        <is>
          <t>1) Log in as Super Admin. 2) Click 'RBAC admin' in the navigation. 3) Observe what renders.</t>
        </is>
      </c>
      <c r="H54" s="37" t="inlineStr">
        <is>
          <t>'RBAC admin' shows real content or a clean 'coming soon' fence; no blank page, no error, no dead-end; back-nav works.</t>
        </is>
      </c>
      <c r="I54" s="37" t="inlineStr">
        <is>
          <t>Screenshot of the Super Admin 'RBAC admin' destination</t>
        </is>
      </c>
      <c r="J54" s="43" t="inlineStr">
        <is>
          <t>NOT RUN</t>
        </is>
      </c>
      <c r="K54" s="37" t="inlineStr">
        <is>
          <t>Claude (pending env)</t>
        </is>
      </c>
      <c r="L54" s="37" t="n"/>
      <c r="M54" s="37" t="n"/>
      <c r="N54" s="37" t="inlineStr">
        <is>
          <t>[T4 | Phase 4 | Claude (pending env)] Playwright/authenticated-API against running env. awaiting running staging URL + test accounts</t>
        </is>
      </c>
    </row>
    <row r="55" ht="53.7" customHeight="1" s="29">
      <c r="A55" s="36" t="inlineStr">
        <is>
          <t>MX-NAV-0053</t>
        </is>
      </c>
      <c r="B55" s="54" t="inlineStr">
        <is>
          <t>P1</t>
        </is>
      </c>
      <c r="C55" s="36" t="inlineStr">
        <is>
          <t>Frontend/Nav</t>
        </is>
      </c>
      <c r="D55" s="36" t="inlineStr">
        <is>
          <t>Super Admin · Feature flags</t>
        </is>
      </c>
      <c r="E55" s="36" t="inlineStr">
        <is>
          <t>Confirms the 'Feature flags' navigation destination for a Super Admin lands on real content OR an explicit 'coming soon' — never a blank page, error, or dead end. A blank page once burned a live school demo; this matrix walks every nav item for every role so none is missed.</t>
        </is>
      </c>
      <c r="F55" s="36" t="inlineStr">
        <is>
          <t>A Super Admin test account with representative data.</t>
        </is>
      </c>
      <c r="G55" s="36" t="inlineStr">
        <is>
          <t>1) Log in as Super Admin. 2) Click 'Feature flags' in the navigation. 3) Observe what renders.</t>
        </is>
      </c>
      <c r="H55" s="36" t="inlineStr">
        <is>
          <t>'Feature flags' shows real content or a clean 'coming soon' fence; no blank page, no error, no dead-end; back-nav works.</t>
        </is>
      </c>
      <c r="I55" s="36" t="inlineStr">
        <is>
          <t>Screenshot of the Super Admin 'Feature flags' destination</t>
        </is>
      </c>
      <c r="J55" s="41" t="inlineStr">
        <is>
          <t>NOT RUN</t>
        </is>
      </c>
      <c r="K55" s="36" t="inlineStr">
        <is>
          <t>Claude (pending env)</t>
        </is>
      </c>
      <c r="L55" s="36" t="n"/>
      <c r="M55" s="36" t="n"/>
      <c r="N55" s="36" t="inlineStr">
        <is>
          <t>[T4 | Phase 4 | Claude (pending env)] Playwright/authenticated-API against running env. awaiting running staging URL + test accounts</t>
        </is>
      </c>
    </row>
    <row r="56" ht="53.7" customHeight="1" s="29">
      <c r="A56" s="37" t="inlineStr">
        <is>
          <t>MX-NAV-0054</t>
        </is>
      </c>
      <c r="B56" s="54" t="inlineStr">
        <is>
          <t>P1</t>
        </is>
      </c>
      <c r="C56" s="37" t="inlineStr">
        <is>
          <t>Frontend/Nav</t>
        </is>
      </c>
      <c r="D56" s="37" t="inlineStr">
        <is>
          <t>Super Admin · Content pipeline</t>
        </is>
      </c>
      <c r="E56" s="37" t="inlineStr">
        <is>
          <t>Confirms the 'Content pipeline' navigation destination for a Super Admin lands on real content OR an explicit 'coming soon' — never a blank page, error, or dead end. A blank page once burned a live school demo; this matrix walks every nav item for every role so none is missed.</t>
        </is>
      </c>
      <c r="F56" s="37" t="inlineStr">
        <is>
          <t>A Super Admin test account with representative data.</t>
        </is>
      </c>
      <c r="G56" s="37" t="inlineStr">
        <is>
          <t>1) Log in as Super Admin. 2) Click 'Content pipeline' in the navigation. 3) Observe what renders.</t>
        </is>
      </c>
      <c r="H56" s="37" t="inlineStr">
        <is>
          <t>'Content pipeline' shows real content or a clean 'coming soon' fence; no blank page, no error, no dead-end; back-nav works.</t>
        </is>
      </c>
      <c r="I56" s="37" t="inlineStr">
        <is>
          <t>Screenshot of the Super Admin 'Content pipeline' destination</t>
        </is>
      </c>
      <c r="J56" s="43" t="inlineStr">
        <is>
          <t>NOT RUN</t>
        </is>
      </c>
      <c r="K56" s="37" t="inlineStr">
        <is>
          <t>Claude (pending env)</t>
        </is>
      </c>
      <c r="L56" s="37" t="n"/>
      <c r="M56" s="37" t="n"/>
      <c r="N56" s="37" t="inlineStr">
        <is>
          <t>[T4 | Phase 4 | Claude (pending env)] Playwright/authenticated-API against running env. awaiting running staging URL + test accounts</t>
        </is>
      </c>
    </row>
    <row r="57" ht="53.7" customHeight="1" s="29">
      <c r="A57" s="36" t="inlineStr">
        <is>
          <t>MX-NAV-0055</t>
        </is>
      </c>
      <c r="B57" s="54" t="inlineStr">
        <is>
          <t>P1</t>
        </is>
      </c>
      <c r="C57" s="36" t="inlineStr">
        <is>
          <t>Frontend/Nav</t>
        </is>
      </c>
      <c r="D57" s="36" t="inlineStr">
        <is>
          <t>Super Admin · Alerts/incidents</t>
        </is>
      </c>
      <c r="E57" s="36" t="inlineStr">
        <is>
          <t>Confirms the 'Alerts/incidents' navigation destination for a Super Admin lands on real content OR an explicit 'coming soon' — never a blank page, error, or dead end. A blank page once burned a live school demo; this matrix walks every nav item for every role so none is missed.</t>
        </is>
      </c>
      <c r="F57" s="36" t="inlineStr">
        <is>
          <t>A Super Admin test account with representative data.</t>
        </is>
      </c>
      <c r="G57" s="36" t="inlineStr">
        <is>
          <t>1) Log in as Super Admin. 2) Click 'Alerts/incidents' in the navigation. 3) Observe what renders.</t>
        </is>
      </c>
      <c r="H57" s="36" t="inlineStr">
        <is>
          <t>'Alerts/incidents' shows real content or a clean 'coming soon' fence; no blank page, no error, no dead-end; back-nav works.</t>
        </is>
      </c>
      <c r="I57" s="36" t="inlineStr">
        <is>
          <t>Screenshot of the Super Admin 'Alerts/incidents' destination</t>
        </is>
      </c>
      <c r="J57" s="41" t="inlineStr">
        <is>
          <t>NOT RUN</t>
        </is>
      </c>
      <c r="K57" s="36" t="inlineStr">
        <is>
          <t>Claude (pending env)</t>
        </is>
      </c>
      <c r="L57" s="36" t="n"/>
      <c r="M57" s="36" t="n"/>
      <c r="N57" s="36" t="inlineStr">
        <is>
          <t>[T4 | Phase 4 | Claude (pending env)] Playwright/authenticated-API against running env. awaiting running staging URL + test accounts</t>
        </is>
      </c>
    </row>
    <row r="58" ht="53.7" customHeight="1" s="29">
      <c r="A58" s="37" t="inlineStr">
        <is>
          <t>MX-NAV-0056</t>
        </is>
      </c>
      <c r="B58" s="54" t="inlineStr">
        <is>
          <t>P1</t>
        </is>
      </c>
      <c r="C58" s="37" t="inlineStr">
        <is>
          <t>Frontend/Nav</t>
        </is>
      </c>
      <c r="D58" s="37" t="inlineStr">
        <is>
          <t>Super Admin · Audit logs</t>
        </is>
      </c>
      <c r="E58" s="37" t="inlineStr">
        <is>
          <t>Confirms the 'Audit logs' navigation destination for a Super Admin lands on real content OR an explicit 'coming soon' — never a blank page, error, or dead end. A blank page once burned a live school demo; this matrix walks every nav item for every role so none is missed.</t>
        </is>
      </c>
      <c r="F58" s="37" t="inlineStr">
        <is>
          <t>A Super Admin test account with representative data.</t>
        </is>
      </c>
      <c r="G58" s="37" t="inlineStr">
        <is>
          <t>1) Log in as Super Admin. 2) Click 'Audit logs' in the navigation. 3) Observe what renders.</t>
        </is>
      </c>
      <c r="H58" s="37" t="inlineStr">
        <is>
          <t>'Audit logs' shows real content or a clean 'coming soon' fence; no blank page, no error, no dead-end; back-nav works.</t>
        </is>
      </c>
      <c r="I58" s="37" t="inlineStr">
        <is>
          <t>Screenshot of the Super Admin 'Audit logs' destination</t>
        </is>
      </c>
      <c r="J58" s="43" t="inlineStr">
        <is>
          <t>NOT RUN</t>
        </is>
      </c>
      <c r="K58" s="37" t="inlineStr">
        <is>
          <t>Claude (pending env)</t>
        </is>
      </c>
      <c r="L58" s="37" t="n"/>
      <c r="M58" s="37" t="n"/>
      <c r="N58" s="37" t="inlineStr">
        <is>
          <t>[T4 | Phase 4 | Claude (pending env)] Playwright/authenticated-API against running env. awaiting running staging URL + test accounts</t>
        </is>
      </c>
    </row>
  </sheetData>
  <autoFilter ref="A2:N58"/>
  <mergeCells count="1">
    <mergeCell ref="A1:N1"/>
  </mergeCells>
  <conditionalFormatting sqref="J3:J58">
    <cfRule type="cellIs" rank="0" priority="2" equalAverage="0" operator="equal" aboveAverage="0" dxfId="7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"BLOCKED"</formula>
    </cfRule>
    <cfRule type="cellIs" rank="0" priority="5" equalAverage="0" operator="equal" aboveAverage="0" dxfId="10" text="" percent="0" bottom="0">
      <formula>"FENCED"</formula>
    </cfRule>
    <cfRule type="cellIs" rank="0" priority="6" equalAverage="0" operator="equal" aboveAverage="0" dxfId="11" text="" percent="0" bottom="0">
      <formula>"NOT RUN"</formula>
    </cfRule>
  </conditionalFormatting>
  <dataValidations count="1">
    <dataValidation sqref="J3:J58" showDropDown="0" showInputMessage="0" showErrorMessage="0" allowBlank="1" type="list" errorStyle="stop" operator="between">
      <formula1>"NOT RUN,PASS,FAIL,BLOCKED,FENCED,N/A"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2026-08-03T11:29:31Z</dcterms:created>
  <dcterms:modified xsi:type="dcterms:W3CDTF">2026-08-04T04:17:02Z</dcterms:modified>
  <cp:revision>0</cp:revision>
</cp:coreProperties>
</file>